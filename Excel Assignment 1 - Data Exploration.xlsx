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activeTab="2"/>
  </bookViews>
  <sheets>
    <sheet name="Instraction1" sheetId="1" r:id="rId1"/>
    <sheet name="Instraction2" sheetId="2" r:id="rId2"/>
    <sheet name="Datas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<sst xmlns="http://schemas.openxmlformats.org/spreadsheetml/2006/main" count="264" uniqueCount="199">
  <si>
    <r>
      <rPr>
        <b/>
        <sz val="17"/>
        <rFont val="Calibri"/>
        <charset val="134"/>
      </rPr>
      <t>Data Analytics (DA)</t>
    </r>
  </si>
  <si>
    <r>
      <rPr>
        <b/>
        <sz val="17"/>
        <rFont val="Calibri"/>
        <charset val="134"/>
      </rPr>
      <t>Module -1 - Excel</t>
    </r>
  </si>
  <si>
    <r>
      <rPr>
        <b/>
        <sz val="17"/>
        <rFont val="Calibri"/>
        <charset val="134"/>
      </rPr>
      <t>Excel Assignment 1 – Data Exploration</t>
    </r>
  </si>
  <si>
    <r>
      <rPr>
        <b/>
        <sz val="17"/>
        <rFont val="Calibri"/>
        <charset val="134"/>
      </rPr>
      <t>Assignment Task Overview</t>
    </r>
  </si>
  <si>
    <r>
      <rPr>
        <b/>
        <sz val="13"/>
        <rFont val="Calibri"/>
        <charset val="134"/>
      </rPr>
      <t>Problem Statement</t>
    </r>
  </si>
  <si>
    <r>
      <rPr>
        <sz val="12"/>
        <rFont val="Calibri"/>
        <charset val="134"/>
      </rPr>
      <t xml:space="preserve">You  are  a  </t>
    </r>
    <r>
      <rPr>
        <b/>
        <sz val="12"/>
        <rFont val="Calibri"/>
        <charset val="134"/>
      </rPr>
      <t xml:space="preserve">Data  Analyst,  </t>
    </r>
    <r>
      <rPr>
        <sz val="12"/>
        <rFont val="Calibri"/>
        <charset val="134"/>
      </rPr>
      <t xml:space="preserve">and  you  are  required  to  perform  </t>
    </r>
    <r>
      <rPr>
        <b/>
        <sz val="12"/>
        <rFont val="Calibri"/>
        <charset val="134"/>
      </rPr>
      <t>basic  data  exploration  and  analysis  in Microsoft Excel</t>
    </r>
    <r>
      <rPr>
        <sz val="12"/>
        <rFont val="Calibri"/>
        <charset val="134"/>
      </rPr>
      <t xml:space="preserve">. The dataset contains information about different products, including their </t>
    </r>
    <r>
      <rPr>
        <b/>
        <sz val="12"/>
        <rFont val="Calibri"/>
        <charset val="134"/>
      </rPr>
      <t xml:space="preserve">Product
</t>
    </r>
    <r>
      <rPr>
        <b/>
        <sz val="12"/>
        <rFont val="Calibri"/>
        <charset val="134"/>
      </rPr>
      <t>IDs, Product Name, Brand Name, Quantity, Categories, and Prices</t>
    </r>
    <r>
      <rPr>
        <sz val="12"/>
        <rFont val="Calibri"/>
        <charset val="134"/>
      </rPr>
      <t>.</t>
    </r>
  </si>
  <si>
    <r>
      <rPr>
        <sz val="12"/>
        <rFont val="Calibri"/>
        <charset val="134"/>
      </rPr>
      <t xml:space="preserve">In  this  assignment,  you  will  use  </t>
    </r>
    <r>
      <rPr>
        <b/>
        <sz val="12"/>
        <rFont val="Calibri"/>
        <charset val="134"/>
      </rPr>
      <t xml:space="preserve">Excel  formulas  and  functions  </t>
    </r>
    <r>
      <rPr>
        <sz val="12"/>
        <rFont val="Calibri"/>
        <charset val="134"/>
      </rPr>
      <t xml:space="preserve">to  perform  calculations,  categorize data,  and  extract  useful information from text fields. The goal is to build foundational skills in </t>
    </r>
    <r>
      <rPr>
        <b/>
        <sz val="12"/>
        <rFont val="Calibri"/>
        <charset val="134"/>
      </rPr>
      <t xml:space="preserve">data
</t>
    </r>
    <r>
      <rPr>
        <b/>
        <sz val="12"/>
        <rFont val="Calibri"/>
        <charset val="134"/>
      </rPr>
      <t xml:space="preserve">exploration, logical functions, conditional aggregation, and text manipulation </t>
    </r>
    <r>
      <rPr>
        <sz val="12"/>
        <rFont val="Calibri"/>
        <charset val="134"/>
      </rPr>
      <t>using Excel.</t>
    </r>
  </si>
  <si>
    <r>
      <rPr>
        <sz val="12"/>
        <rFont val="Calibri"/>
        <charset val="134"/>
      </rPr>
      <t xml:space="preserve">The  focus  of  this  assignment  is  on  </t>
    </r>
    <r>
      <rPr>
        <b/>
        <sz val="12"/>
        <rFont val="Calibri"/>
        <charset val="134"/>
      </rPr>
      <t xml:space="preserve">data  summarization,  conditional  logic,  and  text  extraction
</t>
    </r>
    <r>
      <rPr>
        <b/>
        <sz val="12"/>
        <rFont val="Calibri"/>
        <charset val="134"/>
      </rPr>
      <t>techniques</t>
    </r>
    <r>
      <rPr>
        <sz val="12"/>
        <rFont val="Calibri"/>
        <charset val="134"/>
      </rPr>
      <t>, which are essential for preparing data for further analysis.</t>
    </r>
  </si>
  <si>
    <r>
      <rPr>
        <b/>
        <sz val="17"/>
        <rFont val="Calibri"/>
        <charset val="134"/>
      </rPr>
      <t>Dataset Description</t>
    </r>
  </si>
  <si>
    <r>
      <rPr>
        <b/>
        <sz val="14"/>
        <rFont val="Calibri"/>
        <charset val="134"/>
      </rPr>
      <t xml:space="preserve">Dataset: </t>
    </r>
    <r>
      <rPr>
        <b/>
        <u/>
        <sz val="14"/>
        <color rgb="FF1154CC"/>
        <rFont val="Calibri"/>
        <charset val="134"/>
      </rPr>
      <t>Product Dataset</t>
    </r>
  </si>
  <si>
    <r>
      <rPr>
        <b/>
        <sz val="12"/>
        <rFont val="Calibri"/>
        <charset val="134"/>
      </rPr>
      <t xml:space="preserve">Attributes: </t>
    </r>
    <r>
      <rPr>
        <i/>
        <sz val="12"/>
        <rFont val="Calibri"/>
        <charset val="134"/>
      </rPr>
      <t>Product ID, Product Name, Brand Name, Quantity, Category, Price</t>
    </r>
  </si>
  <si>
    <r>
      <rPr>
        <b/>
        <sz val="17"/>
        <rFont val="Calibri"/>
        <charset val="134"/>
      </rPr>
      <t>Tasks:</t>
    </r>
  </si>
  <si>
    <r>
      <rPr>
        <b/>
        <i/>
        <sz val="13"/>
        <rFont val="Calibri"/>
        <charset val="134"/>
      </rPr>
      <t>Basic Data Exploration</t>
    </r>
  </si>
  <si>
    <r>
      <rPr>
        <b/>
        <sz val="12"/>
        <color rgb="FF424242"/>
        <rFont val="Calibri"/>
        <charset val="134"/>
      </rPr>
      <t xml:space="preserve">1.   </t>
    </r>
    <r>
      <rPr>
        <b/>
        <sz val="12"/>
        <rFont val="Calibri"/>
        <charset val="134"/>
      </rPr>
      <t>Sum, Count, and Average</t>
    </r>
  </si>
  <si>
    <r>
      <rPr>
        <sz val="12"/>
        <rFont val="Calibri"/>
        <charset val="134"/>
      </rPr>
      <t>Perform the following calculations using Excel functions:</t>
    </r>
  </si>
  <si>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Calculate the </t>
    </r>
    <r>
      <rPr>
        <b/>
        <sz val="12"/>
        <rFont val="Calibri"/>
        <charset val="134"/>
      </rPr>
      <t xml:space="preserve">total price of all products </t>
    </r>
    <r>
      <rPr>
        <sz val="12"/>
        <rFont val="Calibri"/>
        <charset val="134"/>
      </rPr>
      <t xml:space="preserve">in the dataset.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Determine </t>
    </r>
    <r>
      <rPr>
        <b/>
        <sz val="12"/>
        <rFont val="Calibri"/>
        <charset val="134"/>
      </rPr>
      <t xml:space="preserve">how many products exist in the dataset.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Calculate the </t>
    </r>
    <r>
      <rPr>
        <b/>
        <sz val="12"/>
        <rFont val="Calibri"/>
        <charset val="134"/>
      </rPr>
      <t>average price of the products</t>
    </r>
    <r>
      <rPr>
        <sz val="12"/>
        <rFont val="Calibri"/>
        <charset val="134"/>
      </rPr>
      <t>.</t>
    </r>
  </si>
  <si>
    <r>
      <rPr>
        <b/>
        <sz val="12"/>
        <color rgb="FF424242"/>
        <rFont val="Calibri"/>
        <charset val="134"/>
      </rPr>
      <t xml:space="preserve">2.   </t>
    </r>
    <r>
      <rPr>
        <b/>
        <sz val="12"/>
        <rFont val="Calibri"/>
        <charset val="134"/>
      </rPr>
      <t>Minimum and Maximum Values</t>
    </r>
  </si>
  <si>
    <r>
      <rPr>
        <sz val="12"/>
        <rFont val="Calibri"/>
        <charset val="134"/>
      </rPr>
      <t xml:space="preserve">Using Excel functions: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Identify the </t>
    </r>
    <r>
      <rPr>
        <b/>
        <sz val="12"/>
        <rFont val="Calibri"/>
        <charset val="134"/>
      </rPr>
      <t xml:space="preserve">minimum price </t>
    </r>
    <r>
      <rPr>
        <sz val="12"/>
        <rFont val="Calibri"/>
        <charset val="134"/>
      </rPr>
      <t xml:space="preserve">among all products.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Identify the </t>
    </r>
    <r>
      <rPr>
        <b/>
        <sz val="12"/>
        <rFont val="Calibri"/>
        <charset val="134"/>
      </rPr>
      <t xml:space="preserve">maximum price </t>
    </r>
    <r>
      <rPr>
        <sz val="12"/>
        <rFont val="Calibri"/>
        <charset val="134"/>
      </rPr>
      <t>among all products.</t>
    </r>
  </si>
  <si>
    <r>
      <rPr>
        <b/>
        <sz val="12"/>
        <color rgb="FF424242"/>
        <rFont val="Calibri"/>
        <charset val="134"/>
      </rPr>
      <t xml:space="preserve">3.   </t>
    </r>
    <r>
      <rPr>
        <b/>
        <sz val="12"/>
        <rFont val="Calibri"/>
        <charset val="134"/>
      </rPr>
      <t xml:space="preserve">Logical Function – IF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Create a new column named </t>
    </r>
    <r>
      <rPr>
        <b/>
        <sz val="12"/>
        <rFont val="Calibri"/>
        <charset val="134"/>
      </rPr>
      <t>Price Range</t>
    </r>
    <r>
      <rPr>
        <sz val="12"/>
        <rFont val="Calibri"/>
        <charset val="134"/>
      </rPr>
      <t xml:space="preserve">.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Use the </t>
    </r>
    <r>
      <rPr>
        <b/>
        <sz val="12"/>
        <rFont val="Calibri"/>
        <charset val="134"/>
      </rPr>
      <t xml:space="preserve">IF function </t>
    </r>
    <r>
      <rPr>
        <sz val="12"/>
        <rFont val="Calibri"/>
        <charset val="134"/>
      </rPr>
      <t xml:space="preserve">to categorize products based on their price:
</t>
    </r>
    <r>
      <rPr>
        <sz val="12"/>
        <rFont val="Arial"/>
        <charset val="134"/>
      </rPr>
      <t xml:space="preserve">○   </t>
    </r>
    <r>
      <rPr>
        <sz val="12"/>
        <rFont val="Calibri"/>
        <charset val="134"/>
      </rPr>
      <t xml:space="preserve">If </t>
    </r>
    <r>
      <rPr>
        <b/>
        <sz val="12"/>
        <rFont val="Calibri"/>
        <charset val="134"/>
      </rPr>
      <t xml:space="preserve">Price </t>
    </r>
    <r>
      <rPr>
        <b/>
        <sz val="12"/>
        <rFont val="Arial"/>
        <charset val="134"/>
      </rPr>
      <t xml:space="preserve">≥ </t>
    </r>
    <r>
      <rPr>
        <b/>
        <sz val="12"/>
        <rFont val="Calibri"/>
        <charset val="134"/>
      </rPr>
      <t xml:space="preserve">$500 </t>
    </r>
    <r>
      <rPr>
        <sz val="12"/>
        <rFont val="Arial"/>
        <charset val="134"/>
      </rPr>
      <t xml:space="preserve">→ </t>
    </r>
    <r>
      <rPr>
        <sz val="12"/>
        <rFont val="Calibri"/>
        <charset val="134"/>
      </rPr>
      <t xml:space="preserve">classify as </t>
    </r>
    <r>
      <rPr>
        <b/>
        <sz val="12"/>
        <rFont val="Calibri"/>
        <charset val="134"/>
      </rPr>
      <t xml:space="preserve">High Price
</t>
    </r>
    <r>
      <rPr>
        <sz val="12"/>
        <rFont val="Arial"/>
        <charset val="134"/>
      </rPr>
      <t xml:space="preserve">○   </t>
    </r>
    <r>
      <rPr>
        <sz val="12"/>
        <rFont val="Calibri"/>
        <charset val="134"/>
      </rPr>
      <t xml:space="preserve">If </t>
    </r>
    <r>
      <rPr>
        <b/>
        <sz val="12"/>
        <rFont val="Calibri"/>
        <charset val="134"/>
      </rPr>
      <t xml:space="preserve">Price &lt; $500 </t>
    </r>
    <r>
      <rPr>
        <sz val="12"/>
        <rFont val="Arial"/>
        <charset val="134"/>
      </rPr>
      <t xml:space="preserve">→ </t>
    </r>
    <r>
      <rPr>
        <sz val="12"/>
        <rFont val="Calibri"/>
        <charset val="134"/>
      </rPr>
      <t xml:space="preserve">classify as </t>
    </r>
    <r>
      <rPr>
        <b/>
        <sz val="12"/>
        <rFont val="Calibri"/>
        <charset val="134"/>
      </rPr>
      <t>Standard Price</t>
    </r>
  </si>
  <si>
    <r>
      <rPr>
        <b/>
        <sz val="12"/>
        <rFont val="Calibri"/>
        <charset val="134"/>
      </rPr>
      <t>4.   Conditional Functions – SUMIF and COUNTIF</t>
    </r>
  </si>
  <si>
    <r>
      <rPr>
        <sz val="12"/>
        <rFont val="Calibri"/>
        <charset val="134"/>
      </rPr>
      <t xml:space="preserve">Perform the following conditional calculations: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Use the </t>
    </r>
    <r>
      <rPr>
        <b/>
        <sz val="12"/>
        <rFont val="Calibri"/>
        <charset val="134"/>
      </rPr>
      <t xml:space="preserve">SUMIF function </t>
    </r>
    <r>
      <rPr>
        <sz val="12"/>
        <rFont val="Calibri"/>
        <charset val="134"/>
      </rPr>
      <t xml:space="preserve">to calculate the </t>
    </r>
    <r>
      <rPr>
        <b/>
        <sz val="12"/>
        <rFont val="Calibri"/>
        <charset val="134"/>
      </rPr>
      <t>total price of products in the Electronics category</t>
    </r>
    <r>
      <rPr>
        <sz val="12"/>
        <rFont val="Calibri"/>
        <charset val="134"/>
      </rPr>
      <t xml:space="preserve">.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Use the </t>
    </r>
    <r>
      <rPr>
        <b/>
        <sz val="12"/>
        <rFont val="Calibri"/>
        <charset val="134"/>
      </rPr>
      <t xml:space="preserve">COUNTIF function </t>
    </r>
    <r>
      <rPr>
        <sz val="12"/>
        <rFont val="Calibri"/>
        <charset val="134"/>
      </rPr>
      <t xml:space="preserve">to determine the </t>
    </r>
    <r>
      <rPr>
        <b/>
        <sz val="12"/>
        <rFont val="Calibri"/>
        <charset val="134"/>
      </rPr>
      <t>number of products with a price</t>
    </r>
  </si>
  <si>
    <r>
      <rPr>
        <b/>
        <sz val="12"/>
        <rFont val="Calibri"/>
        <charset val="134"/>
      </rPr>
      <t>less than $100</t>
    </r>
    <r>
      <rPr>
        <sz val="12"/>
        <rFont val="Calibri"/>
        <charset val="134"/>
      </rPr>
      <t>.</t>
    </r>
  </si>
  <si>
    <r>
      <rPr>
        <b/>
        <sz val="12"/>
        <rFont val="Calibri"/>
        <charset val="134"/>
      </rPr>
      <t>5.   Text Formatting – LEFT, RIGHT, MID</t>
    </r>
  </si>
  <si>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Use text functions to extract information from the </t>
    </r>
    <r>
      <rPr>
        <b/>
        <sz val="12"/>
        <rFont val="Calibri"/>
        <charset val="134"/>
      </rPr>
      <t xml:space="preserve">Product ID </t>
    </r>
    <r>
      <rPr>
        <sz val="12"/>
        <rFont val="Calibri"/>
        <charset val="134"/>
      </rPr>
      <t xml:space="preserve">column.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>Create the following new columns:</t>
    </r>
  </si>
  <si>
    <r>
      <rPr>
        <sz val="12"/>
        <rFont val="Arial"/>
        <charset val="134"/>
      </rPr>
      <t xml:space="preserve">○   </t>
    </r>
    <r>
      <rPr>
        <sz val="12"/>
        <rFont val="Calibri"/>
        <charset val="134"/>
      </rPr>
      <t xml:space="preserve">Create a new column named </t>
    </r>
    <r>
      <rPr>
        <b/>
        <sz val="12"/>
        <rFont val="Calibri"/>
        <charset val="134"/>
      </rPr>
      <t xml:space="preserve">Day </t>
    </r>
    <r>
      <rPr>
        <sz val="12"/>
        <rFont val="Calibri"/>
        <charset val="134"/>
      </rPr>
      <t>with the first 2 characters of each</t>
    </r>
  </si>
  <si>
    <r>
      <rPr>
        <b/>
        <sz val="12"/>
        <rFont val="Calibri"/>
        <charset val="134"/>
      </rPr>
      <t>'Product ID</t>
    </r>
    <r>
      <rPr>
        <sz val="12"/>
        <rFont val="Calibri"/>
        <charset val="134"/>
      </rPr>
      <t xml:space="preserve">' using the </t>
    </r>
    <r>
      <rPr>
        <b/>
        <sz val="12"/>
        <rFont val="Calibri"/>
        <charset val="134"/>
      </rPr>
      <t>LEFT function</t>
    </r>
    <r>
      <rPr>
        <sz val="12"/>
        <rFont val="Calibri"/>
        <charset val="134"/>
      </rPr>
      <t>.</t>
    </r>
  </si>
  <si>
    <r>
      <rPr>
        <sz val="12"/>
        <rFont val="Arial"/>
        <charset val="134"/>
      </rPr>
      <t xml:space="preserve">○   </t>
    </r>
    <r>
      <rPr>
        <sz val="12"/>
        <rFont val="Calibri"/>
        <charset val="134"/>
      </rPr>
      <t xml:space="preserve">Create a new column named </t>
    </r>
    <r>
      <rPr>
        <b/>
        <sz val="12"/>
        <rFont val="Calibri"/>
        <charset val="134"/>
      </rPr>
      <t xml:space="preserve">Country Code </t>
    </r>
    <r>
      <rPr>
        <sz val="12"/>
        <rFont val="Calibri"/>
        <charset val="134"/>
      </rPr>
      <t>by extracting the last 2</t>
    </r>
  </si>
  <si>
    <r>
      <rPr>
        <sz val="12"/>
        <rFont val="Calibri"/>
        <charset val="134"/>
      </rPr>
      <t xml:space="preserve">characters from the </t>
    </r>
    <r>
      <rPr>
        <b/>
        <sz val="12"/>
        <rFont val="Calibri"/>
        <charset val="134"/>
      </rPr>
      <t xml:space="preserve">'Product ID' </t>
    </r>
    <r>
      <rPr>
        <sz val="12"/>
        <rFont val="Calibri"/>
        <charset val="134"/>
      </rPr>
      <t xml:space="preserve">column using the </t>
    </r>
    <r>
      <rPr>
        <b/>
        <sz val="12"/>
        <rFont val="Calibri"/>
        <charset val="134"/>
      </rPr>
      <t>RIGHT function</t>
    </r>
    <r>
      <rPr>
        <sz val="12"/>
        <rFont val="Calibri"/>
        <charset val="134"/>
      </rPr>
      <t>.</t>
    </r>
  </si>
  <si>
    <r>
      <rPr>
        <sz val="12"/>
        <rFont val="Arial"/>
        <charset val="134"/>
      </rPr>
      <t xml:space="preserve">○   </t>
    </r>
    <r>
      <rPr>
        <sz val="12"/>
        <rFont val="Calibri"/>
        <charset val="134"/>
      </rPr>
      <t xml:space="preserve">Create a new column named </t>
    </r>
    <r>
      <rPr>
        <b/>
        <sz val="12"/>
        <rFont val="Calibri"/>
        <charset val="134"/>
      </rPr>
      <t xml:space="preserve">Month </t>
    </r>
    <r>
      <rPr>
        <sz val="12"/>
        <rFont val="Calibri"/>
        <charset val="134"/>
      </rPr>
      <t>by extracting the 4th to 6th</t>
    </r>
  </si>
  <si>
    <r>
      <rPr>
        <sz val="12"/>
        <rFont val="Calibri"/>
        <charset val="134"/>
      </rPr>
      <t xml:space="preserve">characters from the </t>
    </r>
    <r>
      <rPr>
        <b/>
        <sz val="12"/>
        <rFont val="Calibri"/>
        <charset val="134"/>
      </rPr>
      <t xml:space="preserve">'Product ID' </t>
    </r>
    <r>
      <rPr>
        <sz val="12"/>
        <rFont val="Calibri"/>
        <charset val="134"/>
      </rPr>
      <t xml:space="preserve">column using the </t>
    </r>
    <r>
      <rPr>
        <b/>
        <sz val="12"/>
        <rFont val="Calibri"/>
        <charset val="134"/>
      </rPr>
      <t>MID function</t>
    </r>
    <r>
      <rPr>
        <sz val="12"/>
        <rFont val="Calibri"/>
        <charset val="134"/>
      </rPr>
      <t>.</t>
    </r>
  </si>
  <si>
    <r>
      <rPr>
        <b/>
        <sz val="13"/>
        <rFont val="Calibri"/>
        <charset val="134"/>
      </rPr>
      <t>Deliverables:-</t>
    </r>
  </si>
  <si>
    <r>
      <rPr>
        <sz val="12"/>
        <rFont val="Calibri"/>
        <charset val="134"/>
      </rPr>
      <t>Submit a project folder containing:</t>
    </r>
  </si>
  <si>
    <r>
      <rPr>
        <b/>
        <sz val="13"/>
        <rFont val="Calibri"/>
        <charset val="134"/>
      </rPr>
      <t>1.     Excel File (.xlsx)</t>
    </r>
  </si>
  <si>
    <r>
      <rPr>
        <sz val="11"/>
        <rFont val="Calibri"/>
        <charset val="134"/>
      </rPr>
      <t>Th</t>
    </r>
    <r>
      <rPr>
        <sz val="12"/>
        <rFont val="Calibri"/>
        <charset val="134"/>
      </rPr>
      <t xml:space="preserve">e Excel workbook should include: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Completed calculations using formulas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Newly created columns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Correct application of Excel functions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Clearly labeled columns and results
</t>
    </r>
    <r>
      <rPr>
        <b/>
        <sz val="13"/>
        <rFont val="Calibri"/>
        <charset val="134"/>
      </rPr>
      <t>2.   PDF Document</t>
    </r>
  </si>
  <si>
    <r>
      <rPr>
        <sz val="12"/>
        <rFont val="Calibri"/>
        <charset val="134"/>
      </rPr>
      <t xml:space="preserve">Include screenshots of: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Calculated results for each function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Newly created columns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>Applied formulas in the formula bar</t>
    </r>
  </si>
  <si>
    <r>
      <rPr>
        <b/>
        <sz val="17"/>
        <rFont val="Calibri"/>
        <charset val="134"/>
      </rPr>
      <t>Skills to be Evaluated and Mapping</t>
    </r>
  </si>
  <si>
    <r>
      <rPr>
        <b/>
        <sz val="12"/>
        <rFont val="Calibri"/>
        <charset val="134"/>
      </rPr>
      <t>Assignment Section</t>
    </r>
  </si>
  <si>
    <r>
      <rPr>
        <b/>
        <sz val="12"/>
        <rFont val="Calibri"/>
        <charset val="134"/>
      </rPr>
      <t>Core Skill</t>
    </r>
  </si>
  <si>
    <r>
      <rPr>
        <b/>
        <sz val="12"/>
        <rFont val="Calibri"/>
        <charset val="134"/>
      </rPr>
      <t>Sub-Skill</t>
    </r>
  </si>
  <si>
    <r>
      <rPr>
        <b/>
        <sz val="12"/>
        <rFont val="Calibri"/>
        <charset val="134"/>
      </rPr>
      <t>Proficiency</t>
    </r>
  </si>
  <si>
    <r>
      <rPr>
        <sz val="12"/>
        <rFont val="Calibri"/>
        <charset val="134"/>
      </rPr>
      <t>Data Summarization</t>
    </r>
  </si>
  <si>
    <r>
      <rPr>
        <sz val="12"/>
        <rFont val="Calibri"/>
        <charset val="134"/>
      </rPr>
      <t>Data Analysis</t>
    </r>
  </si>
  <si>
    <r>
      <rPr>
        <sz val="12"/>
        <rFont val="Calibri"/>
        <charset val="134"/>
      </rPr>
      <t>SUM, COUNT, AVERAGE</t>
    </r>
  </si>
  <si>
    <r>
      <rPr>
        <sz val="12"/>
        <rFont val="Calibri"/>
        <charset val="134"/>
      </rPr>
      <t>Beginner</t>
    </r>
  </si>
  <si>
    <r>
      <rPr>
        <sz val="12"/>
        <rFont val="Calibri"/>
        <charset val="134"/>
      </rPr>
      <t>Data Range Analysis</t>
    </r>
  </si>
  <si>
    <r>
      <rPr>
        <sz val="12"/>
        <rFont val="Calibri"/>
        <charset val="134"/>
      </rPr>
      <t>Statistical Functions</t>
    </r>
  </si>
  <si>
    <r>
      <rPr>
        <sz val="12"/>
        <rFont val="Calibri"/>
        <charset val="134"/>
      </rPr>
      <t>MIN, MAX</t>
    </r>
  </si>
  <si>
    <r>
      <rPr>
        <sz val="12"/>
        <rFont val="Calibri"/>
        <charset val="134"/>
      </rPr>
      <t>Logical Functions</t>
    </r>
  </si>
  <si>
    <r>
      <rPr>
        <sz val="12"/>
        <rFont val="Calibri"/>
        <charset val="134"/>
      </rPr>
      <t>Business Logic</t>
    </r>
  </si>
  <si>
    <r>
      <rPr>
        <sz val="12"/>
        <rFont val="Calibri"/>
        <charset val="134"/>
      </rPr>
      <t>IF Conditions</t>
    </r>
  </si>
  <si>
    <r>
      <rPr>
        <sz val="12"/>
        <rFont val="Calibri"/>
        <charset val="134"/>
      </rPr>
      <t>Conditional Aggregation</t>
    </r>
  </si>
  <si>
    <r>
      <rPr>
        <sz val="12"/>
        <rFont val="Calibri"/>
        <charset val="134"/>
      </rPr>
      <t>Data Filtering</t>
    </r>
  </si>
  <si>
    <r>
      <rPr>
        <sz val="12"/>
        <rFont val="Calibri"/>
        <charset val="134"/>
      </rPr>
      <t>SUMIF, COUNTIF</t>
    </r>
  </si>
  <si>
    <r>
      <rPr>
        <sz val="12"/>
        <rFont val="Calibri"/>
        <charset val="134"/>
      </rPr>
      <t>Text Processing</t>
    </r>
  </si>
  <si>
    <r>
      <rPr>
        <sz val="12"/>
        <rFont val="Calibri"/>
        <charset val="134"/>
      </rPr>
      <t>Data Transformation</t>
    </r>
  </si>
  <si>
    <r>
      <rPr>
        <sz val="12"/>
        <rFont val="Calibri"/>
        <charset val="134"/>
      </rPr>
      <t>LEFT, RIGHT, MID</t>
    </r>
  </si>
  <si>
    <r>
      <rPr>
        <sz val="12"/>
        <rFont val="Calibri"/>
        <charset val="134"/>
      </rPr>
      <t>Spreadsheet Skills</t>
    </r>
  </si>
  <si>
    <r>
      <rPr>
        <sz val="12"/>
        <rFont val="Calibri"/>
        <charset val="134"/>
      </rPr>
      <t>Excel Proficiency</t>
    </r>
  </si>
  <si>
    <r>
      <rPr>
        <sz val="12"/>
        <rFont val="Calibri"/>
        <charset val="134"/>
      </rPr>
      <t>Formula Application</t>
    </r>
  </si>
  <si>
    <r>
      <rPr>
        <b/>
        <sz val="13"/>
        <rFont val="Calibri"/>
        <charset val="134"/>
      </rPr>
      <t>Rubric &amp; Mark Allocation (Total 10 Marks)</t>
    </r>
  </si>
  <si>
    <r>
      <rPr>
        <b/>
        <sz val="11"/>
        <rFont val="Arial"/>
        <charset val="134"/>
      </rPr>
      <t>Skill / Component</t>
    </r>
  </si>
  <si>
    <r>
      <rPr>
        <b/>
        <sz val="11"/>
        <rFont val="Arial"/>
        <charset val="134"/>
      </rPr>
      <t>Marks</t>
    </r>
  </si>
  <si>
    <r>
      <rPr>
        <b/>
        <sz val="11"/>
        <rFont val="Arial"/>
        <charset val="134"/>
      </rPr>
      <t>Criteria for Full Marks</t>
    </r>
  </si>
  <si>
    <r>
      <rPr>
        <b/>
        <sz val="11"/>
        <rFont val="Arial"/>
        <charset val="134"/>
      </rPr>
      <t>Partial Credit Description</t>
    </r>
  </si>
  <si>
    <r>
      <rPr>
        <b/>
        <sz val="12"/>
        <rFont val="Calibri"/>
        <charset val="134"/>
      </rPr>
      <t>Partial Marks Range</t>
    </r>
  </si>
  <si>
    <r>
      <rPr>
        <sz val="11"/>
        <rFont val="Arial"/>
        <charset val="134"/>
      </rPr>
      <t>Basic Calculations</t>
    </r>
  </si>
  <si>
    <r>
      <rPr>
        <sz val="11"/>
        <rFont val="Arial"/>
        <charset val="134"/>
      </rPr>
      <t>Correct SUM, COUNT, AVERAGE results</t>
    </r>
  </si>
  <si>
    <r>
      <rPr>
        <sz val="11"/>
        <rFont val="Arial"/>
        <charset val="134"/>
      </rPr>
      <t>Minor formula errors</t>
    </r>
  </si>
  <si>
    <r>
      <rPr>
        <sz val="11"/>
        <rFont val="Arial"/>
        <charset val="134"/>
      </rPr>
      <t>Min &amp; Max Analysis</t>
    </r>
  </si>
  <si>
    <r>
      <rPr>
        <sz val="11"/>
        <rFont val="Arial"/>
        <charset val="134"/>
      </rPr>
      <t>Correct use of MIN and MAX</t>
    </r>
  </si>
  <si>
    <r>
      <rPr>
        <sz val="11"/>
        <rFont val="Arial"/>
        <charset val="134"/>
      </rPr>
      <t>Incorrect cell references, Minor formula errors</t>
    </r>
  </si>
  <si>
    <r>
      <rPr>
        <sz val="11"/>
        <rFont val="Arial"/>
        <charset val="134"/>
      </rPr>
      <t>Logical Function (IF)</t>
    </r>
  </si>
  <si>
    <r>
      <rPr>
        <sz val="11"/>
        <rFont val="Arial"/>
        <charset val="134"/>
      </rPr>
      <t>Correct classification of price range</t>
    </r>
  </si>
  <si>
    <r>
      <rPr>
        <sz val="11"/>
        <rFont val="Arial"/>
        <charset val="134"/>
      </rPr>
      <t>Logical condition errors</t>
    </r>
  </si>
  <si>
    <r>
      <rPr>
        <sz val="11"/>
        <rFont val="Arial"/>
        <charset val="134"/>
      </rPr>
      <t>1-2</t>
    </r>
  </si>
  <si>
    <r>
      <rPr>
        <sz val="11"/>
        <rFont val="Arial"/>
        <charset val="134"/>
      </rPr>
      <t>Conditional Functions</t>
    </r>
  </si>
  <si>
    <r>
      <rPr>
        <sz val="11"/>
        <rFont val="Arial"/>
        <charset val="134"/>
      </rPr>
      <t>Correct SUMIF and COUNTIF formulas</t>
    </r>
  </si>
  <si>
    <r>
      <rPr>
        <sz val="11"/>
        <rFont val="Arial"/>
        <charset val="134"/>
      </rPr>
      <t>Partial calculation errors</t>
    </r>
  </si>
  <si>
    <r>
      <rPr>
        <sz val="11"/>
        <rFont val="Arial"/>
        <charset val="134"/>
      </rPr>
      <t>Text Functions</t>
    </r>
  </si>
  <si>
    <r>
      <rPr>
        <sz val="11"/>
        <rFont val="Arial"/>
        <charset val="134"/>
      </rPr>
      <t>Correct extraction using LEFT, RIGHT, and MID</t>
    </r>
  </si>
  <si>
    <r>
      <rPr>
        <sz val="11"/>
        <rFont val="Arial"/>
        <charset val="134"/>
      </rPr>
      <t>Minor syntax errors</t>
    </r>
  </si>
  <si>
    <r>
      <rPr>
        <b/>
        <sz val="17"/>
        <rFont val="Calibri"/>
        <charset val="134"/>
      </rPr>
      <t>DA Skill Taxonomy Structure</t>
    </r>
  </si>
  <si>
    <r>
      <rPr>
        <sz val="12"/>
        <rFont val="Arial"/>
        <charset val="134"/>
      </rPr>
      <t xml:space="preserve">●   </t>
    </r>
    <r>
      <rPr>
        <b/>
        <sz val="12"/>
        <rFont val="Calibri"/>
        <charset val="134"/>
      </rPr>
      <t xml:space="preserve">Data Exploration: </t>
    </r>
    <r>
      <rPr>
        <sz val="12"/>
        <rFont val="Calibri"/>
        <charset val="134"/>
      </rPr>
      <t xml:space="preserve">Summarizing and analyzing numerical data
</t>
    </r>
    <r>
      <rPr>
        <sz val="12"/>
        <rFont val="Arial"/>
        <charset val="134"/>
      </rPr>
      <t xml:space="preserve">●   </t>
    </r>
    <r>
      <rPr>
        <b/>
        <sz val="12"/>
        <rFont val="Calibri"/>
        <charset val="134"/>
      </rPr>
      <t xml:space="preserve">Logical Analysis: </t>
    </r>
    <r>
      <rPr>
        <sz val="12"/>
        <rFont val="Calibri"/>
        <charset val="134"/>
      </rPr>
      <t xml:space="preserve">Applying IF conditions to categorize data
</t>
    </r>
    <r>
      <rPr>
        <sz val="12"/>
        <rFont val="Arial"/>
        <charset val="134"/>
      </rPr>
      <t xml:space="preserve">●   </t>
    </r>
    <r>
      <rPr>
        <b/>
        <sz val="12"/>
        <rFont val="Calibri"/>
        <charset val="134"/>
      </rPr>
      <t xml:space="preserve">Conditional Aggregation: </t>
    </r>
    <r>
      <rPr>
        <sz val="12"/>
        <rFont val="Calibri"/>
        <charset val="134"/>
      </rPr>
      <t xml:space="preserve">Using SUMIF and COUNTIF functions
</t>
    </r>
    <r>
      <rPr>
        <sz val="12"/>
        <rFont val="Arial"/>
        <charset val="134"/>
      </rPr>
      <t xml:space="preserve">●   </t>
    </r>
    <r>
      <rPr>
        <b/>
        <sz val="12"/>
        <rFont val="Calibri"/>
        <charset val="134"/>
      </rPr>
      <t xml:space="preserve">Text Manipulation: </t>
    </r>
    <r>
      <rPr>
        <sz val="12"/>
        <rFont val="Calibri"/>
        <charset val="134"/>
      </rPr>
      <t xml:space="preserve">Extracting structured information from text fields
</t>
    </r>
    <r>
      <rPr>
        <sz val="12"/>
        <rFont val="Arial"/>
        <charset val="134"/>
      </rPr>
      <t xml:space="preserve">●   </t>
    </r>
    <r>
      <rPr>
        <b/>
        <sz val="12"/>
        <rFont val="Calibri"/>
        <charset val="134"/>
      </rPr>
      <t xml:space="preserve">Spreadsheet Proficiency: </t>
    </r>
    <r>
      <rPr>
        <sz val="12"/>
        <rFont val="Calibri"/>
        <charset val="134"/>
      </rPr>
      <t>Building structured analytical worksheets</t>
    </r>
  </si>
  <si>
    <r>
      <rPr>
        <b/>
        <sz val="17"/>
        <rFont val="Calibri"/>
        <charset val="134"/>
      </rPr>
      <t xml:space="preserve">Evaluation Guidelines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Verify formulas used for each calculation.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Check that cell references are correctly applied.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Ensure newly created columns contain accurate results.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Confirm that Excel functions are used appropriately.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>Assign marks based on accuracy, correctness, and clarity of spreadsheet structure.</t>
    </r>
  </si>
  <si>
    <r>
      <rPr>
        <b/>
        <sz val="17"/>
        <rFont val="Calibri"/>
        <charset val="134"/>
      </rPr>
      <t>Achievement Criteria &amp; Passing Rules</t>
    </r>
  </si>
  <si>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Students must obtain </t>
    </r>
    <r>
      <rPr>
        <b/>
        <sz val="12"/>
        <rFont val="Calibri"/>
        <charset val="134"/>
      </rPr>
      <t>at least partial marks in every section</t>
    </r>
    <r>
      <rPr>
        <sz val="12"/>
        <rFont val="Calibri"/>
        <charset val="134"/>
      </rPr>
      <t xml:space="preserve">.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Correct application of </t>
    </r>
    <r>
      <rPr>
        <b/>
        <sz val="12"/>
        <rFont val="Calibri"/>
        <charset val="134"/>
      </rPr>
      <t xml:space="preserve">Excel formulas and functions </t>
    </r>
    <r>
      <rPr>
        <sz val="12"/>
        <rFont val="Calibri"/>
        <charset val="134"/>
      </rPr>
      <t xml:space="preserve">is mandatory.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 xml:space="preserve">The spreadsheet must be </t>
    </r>
    <r>
      <rPr>
        <b/>
        <sz val="12"/>
        <rFont val="Calibri"/>
        <charset val="134"/>
      </rPr>
      <t>well-organized and clearly labeled</t>
    </r>
    <r>
      <rPr>
        <sz val="12"/>
        <rFont val="Calibri"/>
        <charset val="134"/>
      </rPr>
      <t xml:space="preserve">.
</t>
    </r>
    <r>
      <rPr>
        <sz val="12"/>
        <rFont val="Arial"/>
        <charset val="134"/>
      </rPr>
      <t xml:space="preserve">●   </t>
    </r>
    <r>
      <rPr>
        <sz val="12"/>
        <rFont val="Calibri"/>
        <charset val="134"/>
      </rPr>
      <t>Documentation screenshots must clearly show formulas and results.</t>
    </r>
  </si>
  <si>
    <t>Product ID</t>
  </si>
  <si>
    <t>Product Name</t>
  </si>
  <si>
    <t>Brand Name</t>
  </si>
  <si>
    <t>Price ($)</t>
  </si>
  <si>
    <t>Quantity</t>
  </si>
  <si>
    <t>Total price($)</t>
  </si>
  <si>
    <t>Category</t>
  </si>
  <si>
    <t>IF()</t>
  </si>
  <si>
    <t>LEFT()</t>
  </si>
  <si>
    <t>MID()</t>
  </si>
  <si>
    <t>RIGHT()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</si>
  <si>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</si>
  <si>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</si>
  <si>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</si>
  <si>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</si>
  <si>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</si>
  <si>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</si>
  <si>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</si>
  <si>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</si>
  <si>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</si>
  <si>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</si>
  <si>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</si>
  <si>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</si>
  <si>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</si>
  <si>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</si>
  <si>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</si>
  <si>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</si>
  <si>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</si>
  <si>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</si>
  <si>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</si>
  <si>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</si>
  <si>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</si>
  <si>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</si>
  <si>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</si>
  <si>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</si>
  <si>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</si>
  <si>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</si>
  <si>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</si>
  <si>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</si>
  <si>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</si>
  <si>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</si>
  <si>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</si>
  <si>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</si>
  <si>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</si>
  <si>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</si>
  <si>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</si>
  <si>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</si>
  <si>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</si>
  <si>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</si>
  <si>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</si>
  <si>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</si>
  <si>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</si>
  <si>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</si>
  <si>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</si>
  <si>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</si>
  <si>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</si>
  <si>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</si>
  <si>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</si>
  <si>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</si>
  <si>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</si>
  <si>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</si>
  <si>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</si>
  <si>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</si>
  <si>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</si>
  <si>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</si>
  <si>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</si>
  <si>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</si>
  <si>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</si>
  <si>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</si>
  <si>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</si>
  <si>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</si>
  <si>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</si>
  <si>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</si>
  <si>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</si>
  <si>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</si>
  <si>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</si>
  <si>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</si>
  <si>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</si>
  <si>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</si>
  <si>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</si>
  <si>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</si>
  <si>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</si>
  <si>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</si>
  <si>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</si>
  <si>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</si>
  <si>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</si>
  <si>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</si>
  <si>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</si>
  <si>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</si>
  <si>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</si>
  <si>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</si>
  <si>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</si>
  <si>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</si>
  <si>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</si>
  <si>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</si>
  <si>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</si>
  <si>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</si>
  <si>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</si>
  <si>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</t>
  </si>
  <si>
    <t>sum()</t>
  </si>
  <si>
    <t>Count unit</t>
  </si>
  <si>
    <t>Average price</t>
  </si>
  <si>
    <t>Average()</t>
  </si>
  <si>
    <t>Minimum price</t>
  </si>
  <si>
    <t>Min()</t>
  </si>
  <si>
    <t>maximum price</t>
  </si>
  <si>
    <t>max()</t>
  </si>
  <si>
    <t>Place of unit</t>
  </si>
  <si>
    <t>count()</t>
  </si>
  <si>
    <t>laptop</t>
  </si>
  <si>
    <t>sumif()</t>
  </si>
  <si>
    <t>smartphone</t>
  </si>
  <si>
    <t>countif()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</si>
</sst>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0.0"/>
  </numFmts>
  <fonts count="4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Times New Roman"/>
      <charset val="204"/>
    </font>
    <font>
      <b/>
      <sz val="13"/>
      <name val="Times New Roman"/>
      <charset val="134"/>
    </font>
    <font>
      <b/>
      <sz val="11"/>
      <name val="Times New Roman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b/>
      <sz val="17"/>
      <name val="Times New Roman"/>
      <charset val="134"/>
    </font>
    <font>
      <b/>
      <sz val="14"/>
      <name val="Times New Roman"/>
      <charset val="134"/>
    </font>
    <font>
      <b/>
      <i/>
      <sz val="13"/>
      <name val="Times New Roman"/>
      <charset val="134"/>
    </font>
    <font>
      <sz val="12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2"/>
      <name val="Calibri"/>
      <charset val="134"/>
    </font>
    <font>
      <sz val="11"/>
      <name val="Arial"/>
      <charset val="134"/>
    </font>
    <font>
      <b/>
      <sz val="12"/>
      <name val="Calibri"/>
      <charset val="134"/>
    </font>
    <font>
      <i/>
      <sz val="12"/>
      <name val="Calibri"/>
      <charset val="134"/>
    </font>
    <font>
      <sz val="12"/>
      <name val="Arial"/>
      <charset val="134"/>
    </font>
    <font>
      <b/>
      <sz val="12"/>
      <color rgb="FF424242"/>
      <name val="Calibri"/>
      <charset val="134"/>
    </font>
    <font>
      <b/>
      <sz val="12"/>
      <name val="Arial"/>
      <charset val="134"/>
    </font>
    <font>
      <b/>
      <sz val="13"/>
      <name val="Calibri"/>
      <charset val="134"/>
    </font>
    <font>
      <b/>
      <sz val="17"/>
      <name val="Calibri"/>
      <charset val="134"/>
    </font>
    <font>
      <b/>
      <sz val="11"/>
      <name val="Arial"/>
      <charset val="134"/>
    </font>
    <font>
      <b/>
      <i/>
      <sz val="13"/>
      <name val="Calibri"/>
      <charset val="134"/>
    </font>
    <font>
      <b/>
      <sz val="14"/>
      <name val="Calibri"/>
      <charset val="134"/>
    </font>
    <font>
      <b/>
      <u/>
      <sz val="14"/>
      <color rgb="FF1154CC"/>
      <name val="Calibri"/>
      <charset val="134"/>
    </font>
    <font>
      <sz val="11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9" tint="0.8"/>
        <bgColor rgb="FFE0F7FA"/>
      </patternFill>
    </fill>
    <fill>
      <patternFill patternType="solid">
        <fgColor theme="9" tint="0.8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10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58">
    <xf numFmtId="0" fontId="0" fillId="0" borderId="0" xfId="0" applyFont="1" applyAlignment="1"/>
    <xf numFmtId="180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80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180" fontId="2" fillId="5" borderId="2" xfId="0" applyNumberFormat="1" applyFont="1" applyFill="1" applyBorder="1" applyAlignment="1">
      <alignment horizontal="center" vertical="center"/>
    </xf>
    <xf numFmtId="180" fontId="2" fillId="5" borderId="3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 wrapText="1"/>
    </xf>
    <xf numFmtId="0" fontId="5" fillId="6" borderId="4" xfId="0" applyFont="1" applyFill="1" applyBorder="1" applyAlignment="1">
      <alignment horizontal="left" vertical="top" wrapText="1" indent="1"/>
    </xf>
    <xf numFmtId="0" fontId="5" fillId="6" borderId="4" xfId="0" applyFont="1" applyFill="1" applyBorder="1" applyAlignment="1">
      <alignment horizontal="left" vertical="top" wrapText="1" indent="2"/>
    </xf>
    <xf numFmtId="0" fontId="6" fillId="6" borderId="4" xfId="0" applyFont="1" applyFill="1" applyBorder="1" applyAlignment="1">
      <alignment horizontal="left" vertical="top" wrapText="1" indent="2"/>
    </xf>
    <xf numFmtId="0" fontId="7" fillId="0" borderId="4" xfId="0" applyFont="1" applyFill="1" applyBorder="1" applyAlignment="1">
      <alignment horizontal="left" vertical="top" wrapText="1"/>
    </xf>
    <xf numFmtId="1" fontId="8" fillId="0" borderId="4" xfId="0" applyNumberFormat="1" applyFont="1" applyFill="1" applyBorder="1" applyAlignment="1">
      <alignment horizontal="left" vertical="top" shrinkToFit="1"/>
    </xf>
    <xf numFmtId="181" fontId="8" fillId="0" borderId="4" xfId="0" applyNumberFormat="1" applyFont="1" applyFill="1" applyBorder="1" applyAlignment="1">
      <alignment horizontal="left" vertical="top" shrinkToFit="1"/>
    </xf>
    <xf numFmtId="0" fontId="9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3"/>
    </xf>
    <xf numFmtId="0" fontId="3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 indent="8"/>
    </xf>
    <xf numFmtId="0" fontId="12" fillId="0" borderId="0" xfId="0" applyFont="1" applyFill="1" applyBorder="1" applyAlignment="1">
      <alignment horizontal="left" vertical="top" wrapText="1" indent="10"/>
    </xf>
    <xf numFmtId="0" fontId="3" fillId="0" borderId="0" xfId="0" applyFont="1" applyFill="1" applyBorder="1" applyAlignment="1">
      <alignment horizontal="left" vertical="top" wrapText="1" indent="12"/>
    </xf>
    <xf numFmtId="0" fontId="3" fillId="0" borderId="0" xfId="0" applyFont="1" applyFill="1" applyBorder="1" applyAlignment="1">
      <alignment horizontal="left" vertical="top" wrapText="1" indent="10"/>
    </xf>
    <xf numFmtId="0" fontId="3" fillId="0" borderId="0" xfId="0" applyFont="1" applyFill="1" applyBorder="1" applyAlignment="1">
      <alignment horizontal="left" vertical="top" wrapText="1" indent="8"/>
    </xf>
    <xf numFmtId="0" fontId="3" fillId="0" borderId="0" xfId="0" applyFont="1" applyFill="1" applyBorder="1" applyAlignment="1">
      <alignment horizontal="left" vertical="top" wrapText="1" indent="15"/>
    </xf>
    <xf numFmtId="0" fontId="3" fillId="0" borderId="0" xfId="0" applyFont="1" applyFill="1" applyBorder="1" applyAlignment="1">
      <alignment horizontal="left" vertical="top" wrapText="1" indent="17"/>
    </xf>
    <xf numFmtId="0" fontId="3" fillId="0" borderId="0" xfId="0" applyFont="1" applyFill="1" applyBorder="1" applyAlignment="1">
      <alignment horizontal="left" vertical="top" wrapText="1" indent="20"/>
    </xf>
    <xf numFmtId="0" fontId="12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 indent="8"/>
    </xf>
    <xf numFmtId="0" fontId="6" fillId="6" borderId="4" xfId="0" applyFont="1" applyFill="1" applyBorder="1" applyAlignment="1">
      <alignment horizontal="left" vertical="center" wrapText="1" indent="2"/>
    </xf>
    <xf numFmtId="0" fontId="6" fillId="6" borderId="4" xfId="0" applyFont="1" applyFill="1" applyBorder="1" applyAlignment="1">
      <alignment horizontal="left" vertical="center" wrapText="1" indent="4"/>
    </xf>
    <xf numFmtId="0" fontId="6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center" wrapText="1" indent="1"/>
    </xf>
    <xf numFmtId="0" fontId="12" fillId="0" borderId="4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dPmNZ2exa4y_QqWhh_AuKdDvoUqm3A3L/export?format=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3"/>
  <sheetViews>
    <sheetView workbookViewId="0">
      <selection activeCell="A1" sqref="A1:E1"/>
    </sheetView>
  </sheetViews>
  <sheetFormatPr defaultColWidth="7.71428571428571" defaultRowHeight="12.75" outlineLevelCol="4"/>
  <cols>
    <col min="1" max="1" width="25.9047619047619" style="29" customWidth="1"/>
    <col min="2" max="2" width="22.0952380952381" style="29" customWidth="1"/>
    <col min="3" max="3" width="28.952380952381" style="29" customWidth="1"/>
    <col min="4" max="4" width="13.7142857142857" style="29" customWidth="1"/>
    <col min="5" max="5" width="9.14285714285714" style="29" customWidth="1"/>
    <col min="6" max="16384" width="7.71428571428571" style="29"/>
  </cols>
  <sheetData>
    <row r="1" s="29" customFormat="1" ht="25.5" customHeight="1" spans="1:5">
      <c r="A1" s="40" t="s">
        <v>0</v>
      </c>
      <c r="B1" s="40"/>
      <c r="C1" s="40"/>
      <c r="D1" s="40"/>
      <c r="E1" s="40"/>
    </row>
    <row r="2" s="29" customFormat="1" ht="25.5" customHeight="1" spans="1:5">
      <c r="A2" s="40" t="s">
        <v>1</v>
      </c>
      <c r="B2" s="40"/>
      <c r="C2" s="40"/>
      <c r="D2" s="40"/>
      <c r="E2" s="40"/>
    </row>
    <row r="3" s="29" customFormat="1" ht="25.5" customHeight="1" spans="1:5">
      <c r="A3" s="40" t="s">
        <v>2</v>
      </c>
      <c r="B3" s="40"/>
      <c r="C3" s="40"/>
      <c r="D3" s="40"/>
      <c r="E3" s="40"/>
    </row>
    <row r="4" s="29" customFormat="1" ht="25.5" customHeight="1" spans="1:5">
      <c r="A4" s="37" t="s">
        <v>3</v>
      </c>
      <c r="B4" s="37"/>
      <c r="C4" s="37"/>
      <c r="D4" s="37"/>
      <c r="E4" s="37"/>
    </row>
    <row r="5" s="29" customFormat="1" ht="19.5" customHeight="1" spans="1:5">
      <c r="A5" s="30" t="s">
        <v>4</v>
      </c>
      <c r="B5" s="30"/>
      <c r="C5" s="30"/>
      <c r="D5" s="30"/>
      <c r="E5" s="30"/>
    </row>
    <row r="6" s="29" customFormat="1" ht="50.25" customHeight="1" spans="1:5">
      <c r="A6" s="39" t="s">
        <v>5</v>
      </c>
      <c r="B6" s="39"/>
      <c r="C6" s="39"/>
      <c r="D6" s="39"/>
      <c r="E6" s="39"/>
    </row>
    <row r="7" s="29" customFormat="1" ht="50.25" customHeight="1" spans="1:5">
      <c r="A7" s="39" t="s">
        <v>6</v>
      </c>
      <c r="B7" s="39"/>
      <c r="C7" s="39"/>
      <c r="D7" s="39"/>
      <c r="E7" s="39"/>
    </row>
    <row r="8" s="29" customFormat="1" ht="36" customHeight="1" spans="1:5">
      <c r="A8" s="39" t="s">
        <v>7</v>
      </c>
      <c r="B8" s="39"/>
      <c r="C8" s="39"/>
      <c r="D8" s="39"/>
      <c r="E8" s="39"/>
    </row>
    <row r="9" s="29" customFormat="1" ht="25.5" customHeight="1" spans="1:5">
      <c r="A9" s="37" t="s">
        <v>8</v>
      </c>
      <c r="B9" s="37"/>
      <c r="C9" s="37"/>
      <c r="D9" s="37"/>
      <c r="E9" s="37"/>
    </row>
    <row r="10" s="29" customFormat="1" ht="21" customHeight="1" spans="1:5">
      <c r="A10" s="41" t="s">
        <v>9</v>
      </c>
      <c r="B10" s="41"/>
      <c r="C10" s="41"/>
      <c r="D10" s="41"/>
      <c r="E10" s="41"/>
    </row>
    <row r="11" s="29" customFormat="1" ht="18" customHeight="1" spans="1:5">
      <c r="A11" s="39" t="s">
        <v>10</v>
      </c>
      <c r="B11" s="39"/>
      <c r="C11" s="39"/>
      <c r="D11" s="39"/>
      <c r="E11" s="39"/>
    </row>
    <row r="12" s="29" customFormat="1" ht="25.5" customHeight="1" spans="1:5">
      <c r="A12" s="37" t="s">
        <v>11</v>
      </c>
      <c r="B12" s="37"/>
      <c r="C12" s="37"/>
      <c r="D12" s="37"/>
      <c r="E12" s="37"/>
    </row>
    <row r="13" s="29" customFormat="1" ht="19.5" customHeight="1" spans="1:5">
      <c r="A13" s="42" t="s">
        <v>12</v>
      </c>
      <c r="B13" s="42"/>
      <c r="C13" s="42"/>
      <c r="D13" s="42"/>
      <c r="E13" s="42"/>
    </row>
    <row r="14" s="29" customFormat="1" ht="18" customHeight="1" spans="1:5">
      <c r="A14" s="43" t="s">
        <v>13</v>
      </c>
      <c r="B14" s="43"/>
      <c r="C14" s="43"/>
      <c r="D14" s="43"/>
      <c r="E14" s="43"/>
    </row>
    <row r="15" s="29" customFormat="1" ht="18" customHeight="1" spans="1:5">
      <c r="A15" s="44" t="s">
        <v>14</v>
      </c>
      <c r="B15" s="44"/>
      <c r="C15" s="44"/>
      <c r="D15" s="44"/>
      <c r="E15" s="44"/>
    </row>
    <row r="16" s="29" customFormat="1" ht="54" customHeight="1" spans="1:5">
      <c r="A16" s="45" t="s">
        <v>15</v>
      </c>
      <c r="B16" s="45"/>
      <c r="C16" s="45"/>
      <c r="D16" s="45"/>
      <c r="E16" s="45"/>
    </row>
    <row r="17" s="29" customFormat="1" ht="18" customHeight="1" spans="1:5">
      <c r="A17" s="43" t="s">
        <v>16</v>
      </c>
      <c r="B17" s="43"/>
      <c r="C17" s="43"/>
      <c r="D17" s="43"/>
      <c r="E17" s="43"/>
    </row>
    <row r="18" s="29" customFormat="1" ht="66.75" customHeight="1" spans="1:5">
      <c r="A18" s="46" t="s">
        <v>17</v>
      </c>
      <c r="B18" s="46"/>
      <c r="C18" s="46"/>
      <c r="D18" s="46"/>
      <c r="E18" s="46"/>
    </row>
    <row r="19" s="29" customFormat="1" ht="101.75" customHeight="1" spans="1:5">
      <c r="A19" s="47" t="s">
        <v>18</v>
      </c>
      <c r="B19" s="47"/>
      <c r="C19" s="47"/>
      <c r="D19" s="47"/>
      <c r="E19" s="47"/>
    </row>
    <row r="20" s="29" customFormat="1" ht="18" customHeight="1" spans="1:5">
      <c r="A20" s="43" t="s">
        <v>19</v>
      </c>
      <c r="B20" s="43"/>
      <c r="C20" s="43"/>
      <c r="D20" s="43"/>
      <c r="E20" s="43"/>
    </row>
    <row r="21" s="29" customFormat="1" ht="90.75" customHeight="1" spans="1:5">
      <c r="A21" s="46" t="s">
        <v>20</v>
      </c>
      <c r="B21" s="46"/>
      <c r="C21" s="46"/>
      <c r="D21" s="46"/>
      <c r="E21" s="46"/>
    </row>
    <row r="22" s="29" customFormat="1" ht="18" customHeight="1" spans="1:5">
      <c r="A22" s="48" t="s">
        <v>21</v>
      </c>
      <c r="B22" s="48"/>
      <c r="C22" s="48"/>
      <c r="D22" s="48"/>
      <c r="E22" s="48"/>
    </row>
    <row r="23" s="29" customFormat="1" ht="18" customHeight="1" spans="1:5">
      <c r="A23" s="43" t="s">
        <v>22</v>
      </c>
      <c r="B23" s="43"/>
      <c r="C23" s="43"/>
      <c r="D23" s="43"/>
      <c r="E23" s="43"/>
    </row>
    <row r="24" s="29" customFormat="1" ht="39.5" customHeight="1" spans="1:5">
      <c r="A24" s="45" t="s">
        <v>23</v>
      </c>
      <c r="B24" s="45"/>
      <c r="C24" s="45"/>
      <c r="D24" s="45"/>
      <c r="E24" s="45"/>
    </row>
    <row r="25" s="29" customFormat="1" ht="18" customHeight="1" spans="1:5">
      <c r="A25" s="49" t="s">
        <v>24</v>
      </c>
      <c r="B25" s="49"/>
      <c r="C25" s="49"/>
      <c r="D25" s="49"/>
      <c r="E25" s="49"/>
    </row>
    <row r="26" s="29" customFormat="1" ht="18" customHeight="1" spans="1:5">
      <c r="A26" s="50" t="s">
        <v>25</v>
      </c>
      <c r="B26" s="50"/>
      <c r="C26" s="50"/>
      <c r="D26" s="50"/>
      <c r="E26" s="50"/>
    </row>
    <row r="27" s="29" customFormat="1" ht="18" customHeight="1" spans="1:5">
      <c r="A27" s="49" t="s">
        <v>26</v>
      </c>
      <c r="B27" s="49"/>
      <c r="C27" s="49"/>
      <c r="D27" s="49"/>
      <c r="E27" s="49"/>
    </row>
    <row r="28" s="29" customFormat="1" ht="18" customHeight="1" spans="1:5">
      <c r="A28" s="50" t="s">
        <v>27</v>
      </c>
      <c r="B28" s="50"/>
      <c r="C28" s="50"/>
      <c r="D28" s="50"/>
      <c r="E28" s="50"/>
    </row>
    <row r="29" s="29" customFormat="1" ht="18" customHeight="1" spans="1:5">
      <c r="A29" s="49" t="s">
        <v>28</v>
      </c>
      <c r="B29" s="49"/>
      <c r="C29" s="49"/>
      <c r="D29" s="49"/>
      <c r="E29" s="49"/>
    </row>
    <row r="30" s="29" customFormat="1" ht="18" customHeight="1" spans="1:5">
      <c r="A30" s="50" t="s">
        <v>29</v>
      </c>
      <c r="B30" s="50"/>
      <c r="C30" s="50"/>
      <c r="D30" s="50"/>
      <c r="E30" s="50"/>
    </row>
    <row r="31" s="29" customFormat="1" ht="19.5" customHeight="1" spans="1:5">
      <c r="A31" s="30" t="s">
        <v>30</v>
      </c>
      <c r="B31" s="30"/>
      <c r="C31" s="30"/>
      <c r="D31" s="30"/>
      <c r="E31" s="30"/>
    </row>
    <row r="32" s="29" customFormat="1" ht="18" customHeight="1" spans="1:5">
      <c r="A32" s="51" t="s">
        <v>31</v>
      </c>
      <c r="B32" s="51"/>
      <c r="C32" s="51"/>
      <c r="D32" s="51"/>
      <c r="E32" s="51"/>
    </row>
    <row r="33" s="29" customFormat="1" ht="19.5" customHeight="1" spans="1:5">
      <c r="A33" s="52" t="s">
        <v>32</v>
      </c>
      <c r="B33" s="52"/>
      <c r="C33" s="52"/>
      <c r="D33" s="52"/>
      <c r="E33" s="52"/>
    </row>
    <row r="34" s="29" customFormat="1" ht="140.5" customHeight="1" spans="1:5">
      <c r="A34" s="47" t="s">
        <v>33</v>
      </c>
      <c r="B34" s="47"/>
      <c r="C34" s="47"/>
      <c r="D34" s="47"/>
      <c r="E34" s="47"/>
    </row>
    <row r="35" s="29" customFormat="1" ht="90.75" customHeight="1" spans="1:5">
      <c r="A35" s="46" t="s">
        <v>34</v>
      </c>
      <c r="B35" s="46"/>
      <c r="C35" s="46"/>
      <c r="D35" s="46"/>
      <c r="E35" s="46"/>
    </row>
    <row r="36" s="29" customFormat="1" ht="25.5" customHeight="1" spans="1:5">
      <c r="A36" s="37" t="s">
        <v>35</v>
      </c>
      <c r="B36" s="37"/>
      <c r="C36" s="37"/>
      <c r="D36" s="37"/>
      <c r="E36" s="37"/>
    </row>
    <row r="37" s="29" customFormat="1" ht="50" customHeight="1" spans="1:5">
      <c r="A37" s="53" t="s">
        <v>36</v>
      </c>
      <c r="B37" s="54" t="s">
        <v>37</v>
      </c>
      <c r="C37" s="55" t="s">
        <v>38</v>
      </c>
      <c r="D37" s="56" t="s">
        <v>39</v>
      </c>
    </row>
    <row r="38" s="29" customFormat="1" ht="37" customHeight="1" spans="1:5">
      <c r="A38" s="57" t="s">
        <v>40</v>
      </c>
      <c r="B38" s="57" t="s">
        <v>41</v>
      </c>
      <c r="C38" s="57" t="s">
        <v>42</v>
      </c>
      <c r="D38" s="57" t="s">
        <v>43</v>
      </c>
    </row>
    <row r="39" s="29" customFormat="1" ht="38" customHeight="1" spans="1:5">
      <c r="A39" s="57" t="s">
        <v>44</v>
      </c>
      <c r="B39" s="57" t="s">
        <v>45</v>
      </c>
      <c r="C39" s="57" t="s">
        <v>46</v>
      </c>
      <c r="D39" s="57" t="s">
        <v>43</v>
      </c>
    </row>
    <row r="40" s="29" customFormat="1" ht="38" customHeight="1" spans="1:5">
      <c r="A40" s="57" t="s">
        <v>47</v>
      </c>
      <c r="B40" s="57" t="s">
        <v>48</v>
      </c>
      <c r="C40" s="57" t="s">
        <v>49</v>
      </c>
      <c r="D40" s="57" t="s">
        <v>43</v>
      </c>
    </row>
    <row r="41" s="29" customFormat="1" ht="38" customHeight="1" spans="1:5">
      <c r="A41" s="57" t="s">
        <v>50</v>
      </c>
      <c r="B41" s="57" t="s">
        <v>51</v>
      </c>
      <c r="C41" s="57" t="s">
        <v>52</v>
      </c>
      <c r="D41" s="57" t="s">
        <v>43</v>
      </c>
    </row>
    <row r="42" s="29" customFormat="1" ht="38" customHeight="1" spans="1:5">
      <c r="A42" s="57" t="s">
        <v>53</v>
      </c>
      <c r="B42" s="57" t="s">
        <v>54</v>
      </c>
      <c r="C42" s="57" t="s">
        <v>55</v>
      </c>
      <c r="D42" s="57" t="s">
        <v>43</v>
      </c>
    </row>
    <row r="43" s="29" customFormat="1" ht="38" customHeight="1" spans="1:5">
      <c r="A43" s="57" t="s">
        <v>56</v>
      </c>
      <c r="B43" s="57" t="s">
        <v>57</v>
      </c>
      <c r="C43" s="57" t="s">
        <v>58</v>
      </c>
      <c r="D43" s="57" t="s">
        <v>43</v>
      </c>
    </row>
  </sheetData>
  <mergeCells count="36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</mergeCells>
  <hyperlinks>
    <hyperlink ref="A10" r:id="rId1" display="Dataset: Product Dataset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:F1"/>
    </sheetView>
  </sheetViews>
  <sheetFormatPr defaultColWidth="7.71428571428571" defaultRowHeight="12.75" outlineLevelCol="5"/>
  <cols>
    <col min="1" max="1" width="17.3333333333333" style="29" customWidth="1"/>
    <col min="2" max="2" width="11.2380952380952" style="29" customWidth="1"/>
    <col min="3" max="3" width="27.4285714285714" style="29" customWidth="1"/>
    <col min="4" max="5" width="20.7619047619048" style="29" customWidth="1"/>
    <col min="6" max="6" width="2.0952380952381" style="29" customWidth="1"/>
    <col min="7" max="16384" width="7.71428571428571" style="29"/>
  </cols>
  <sheetData>
    <row r="1" s="29" customFormat="1" ht="19.5" customHeight="1" spans="1:6">
      <c r="A1" s="30" t="s">
        <v>59</v>
      </c>
      <c r="B1" s="30"/>
      <c r="C1" s="30"/>
      <c r="D1" s="30"/>
      <c r="E1" s="30"/>
      <c r="F1" s="30"/>
    </row>
    <row r="2" s="29" customFormat="1" ht="45" customHeight="1" spans="1:6">
      <c r="A2" s="31" t="s">
        <v>60</v>
      </c>
      <c r="B2" s="31" t="s">
        <v>61</v>
      </c>
      <c r="C2" s="31" t="s">
        <v>62</v>
      </c>
      <c r="D2" s="32" t="s">
        <v>63</v>
      </c>
      <c r="E2" s="33" t="s">
        <v>64</v>
      </c>
    </row>
    <row r="3" s="29" customFormat="1" ht="41" customHeight="1" spans="1:6">
      <c r="A3" s="34" t="s">
        <v>65</v>
      </c>
      <c r="B3" s="35">
        <v>2</v>
      </c>
      <c r="C3" s="34" t="s">
        <v>66</v>
      </c>
      <c r="D3" s="34" t="s">
        <v>67</v>
      </c>
      <c r="E3" s="35">
        <v>1</v>
      </c>
    </row>
    <row r="4" s="29" customFormat="1" ht="55" customHeight="1" spans="1:6">
      <c r="A4" s="34" t="s">
        <v>68</v>
      </c>
      <c r="B4" s="35">
        <v>1</v>
      </c>
      <c r="C4" s="34" t="s">
        <v>69</v>
      </c>
      <c r="D4" s="34" t="s">
        <v>70</v>
      </c>
      <c r="E4" s="36">
        <v>0.5</v>
      </c>
    </row>
    <row r="5" s="29" customFormat="1" ht="40" customHeight="1" spans="1:6">
      <c r="A5" s="34" t="s">
        <v>71</v>
      </c>
      <c r="B5" s="35">
        <v>3</v>
      </c>
      <c r="C5" s="34" t="s">
        <v>72</v>
      </c>
      <c r="D5" s="34" t="s">
        <v>73</v>
      </c>
      <c r="E5" s="34" t="s">
        <v>74</v>
      </c>
    </row>
    <row r="6" s="29" customFormat="1" ht="41" customHeight="1" spans="1:6">
      <c r="A6" s="34" t="s">
        <v>75</v>
      </c>
      <c r="B6" s="35">
        <v>3</v>
      </c>
      <c r="C6" s="34" t="s">
        <v>76</v>
      </c>
      <c r="D6" s="34" t="s">
        <v>77</v>
      </c>
      <c r="E6" s="34" t="s">
        <v>74</v>
      </c>
    </row>
    <row r="7" s="29" customFormat="1" ht="40" customHeight="1" spans="1:6">
      <c r="A7" s="34" t="s">
        <v>78</v>
      </c>
      <c r="B7" s="35">
        <v>1</v>
      </c>
      <c r="C7" s="34" t="s">
        <v>79</v>
      </c>
      <c r="D7" s="34" t="s">
        <v>80</v>
      </c>
      <c r="E7" s="36">
        <v>0.5</v>
      </c>
    </row>
    <row r="8" s="29" customFormat="1" ht="25.5" customHeight="1" spans="1:6">
      <c r="A8" s="37" t="s">
        <v>81</v>
      </c>
      <c r="B8" s="37"/>
      <c r="C8" s="37"/>
      <c r="D8" s="37"/>
      <c r="E8" s="37"/>
      <c r="F8" s="37"/>
    </row>
    <row r="9" s="29" customFormat="1" ht="112" customHeight="1" spans="1:6">
      <c r="A9" s="38" t="s">
        <v>82</v>
      </c>
      <c r="B9" s="38"/>
      <c r="C9" s="38"/>
      <c r="D9" s="38"/>
      <c r="E9" s="38"/>
      <c r="F9" s="38"/>
    </row>
    <row r="10" s="29" customFormat="1" ht="144.75" customHeight="1" spans="1:6">
      <c r="A10" s="39" t="s">
        <v>83</v>
      </c>
      <c r="B10" s="39"/>
      <c r="C10" s="39"/>
      <c r="D10" s="39"/>
      <c r="E10" s="39"/>
      <c r="F10" s="39"/>
    </row>
    <row r="11" s="29" customFormat="1" ht="25.5" customHeight="1" spans="1:6">
      <c r="A11" s="37" t="s">
        <v>84</v>
      </c>
      <c r="B11" s="37"/>
      <c r="C11" s="37"/>
      <c r="D11" s="37"/>
      <c r="E11" s="37"/>
      <c r="F11" s="37"/>
    </row>
    <row r="12" s="29" customFormat="1" ht="87.75" customHeight="1" spans="1:6">
      <c r="A12" s="38" t="s">
        <v>85</v>
      </c>
      <c r="B12" s="38"/>
      <c r="C12" s="38"/>
      <c r="D12" s="38"/>
      <c r="E12" s="38"/>
      <c r="F12" s="38"/>
    </row>
  </sheetData>
  <mergeCells count="6">
    <mergeCell ref="A1:F1"/>
    <mergeCell ref="A8:F8"/>
    <mergeCell ref="A9:F9"/>
    <mergeCell ref="A10:F10"/>
    <mergeCell ref="A11:F11"/>
    <mergeCell ref="A12:F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00"/>
  <sheetViews>
    <sheetView tabSelected="1" topLeftCell="A25" workbookViewId="0">
      <selection activeCell="G41" sqref="G41"/>
    </sheetView>
  </sheetViews>
  <sheetFormatPr defaultColWidth="12.6285714285714" defaultRowHeight="15" customHeight="1"/>
  <cols>
    <col min="2" max="2" width="14.1333333333333" customWidth="1"/>
    <col min="4" max="4" width="12.6285714285714" style="1"/>
    <col min="6" max="6" width="13.1428571428571" style="1"/>
    <col min="8" max="8" width="17.7142857142857" customWidth="1"/>
  </cols>
  <sheetData>
    <row r="1" ht="15.75" customHeight="1" spans="1:12">
      <c r="A1" s="2" t="s">
        <v>86</v>
      </c>
      <c r="B1" s="2" t="s">
        <v>87</v>
      </c>
      <c r="C1" s="2" t="s">
        <v>88</v>
      </c>
      <c r="D1" s="3" t="s">
        <v>89</v>
      </c>
      <c r="E1" s="2" t="s">
        <v>90</v>
      </c>
      <c r="F1" s="3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/>
    </row>
    <row r="2" ht="15.75" customHeight="1" spans="1:12">
      <c r="A2" s="4" t="s">
        <v>97</v>
      </c>
      <c r="B2" s="4" t="s">
        <v>98</v>
      </c>
      <c r="C2" s="4" t="s">
        <v>99</v>
      </c>
      <c r="D2" s="5">
        <v>1000</v>
      </c>
      <c r="E2" s="4">
        <v>30</v>
      </c>
      <c r="F2" s="5">
        <f>(D2*E2)</f>
        <v>30000</v>
      </c>
      <c r="G2" s="4" t="s">
        <v>100</v>
      </c>
      <c r="H2" s="4" t="str">
        <f>IF(D2&gt;500,"HIGH PRICE","STANDARD PRICE")</f>
        <v>HIGH PRICE</v>
      </c>
      <c r="I2" s="4" t="str">
        <f>LEFT(A2,2)</f>
        <v>28</v>
      </c>
      <c r="J2" s="4" t="str">
        <f>MID(A2,4,3)</f>
        <v>JAN</v>
      </c>
      <c r="K2" s="4" t="str">
        <f>RIGHT(A2,2)</f>
        <v>US</v>
      </c>
      <c r="L2" s="4"/>
    </row>
    <row r="3" ht="15.75" customHeight="1" spans="1:12">
      <c r="A3" s="6" t="s">
        <v>101</v>
      </c>
      <c r="B3" s="6" t="s">
        <v>102</v>
      </c>
      <c r="C3" s="6" t="s">
        <v>103</v>
      </c>
      <c r="D3" s="7">
        <v>80</v>
      </c>
      <c r="E3" s="6">
        <v>15</v>
      </c>
      <c r="F3" s="8">
        <f t="shared" ref="F3:F35" si="0">(D3*E3)</f>
        <v>1200</v>
      </c>
      <c r="G3" s="6" t="s">
        <v>104</v>
      </c>
      <c r="H3" s="9" t="str">
        <f t="shared" ref="H3:H35" si="1">IF(D3&gt;500,"HIGH PRICE","STANDARD PRICE")</f>
        <v>STANDARD PRICE</v>
      </c>
      <c r="I3" s="9" t="str">
        <f t="shared" ref="I3:I35" si="2">LEFT(A3,2)</f>
        <v>15</v>
      </c>
      <c r="J3" s="9" t="str">
        <f t="shared" ref="J3:J35" si="3">MID(A3,4,3)</f>
        <v>FEB</v>
      </c>
      <c r="K3" s="9" t="str">
        <f t="shared" ref="K3:K35" si="4">RIGHT(A3,2)</f>
        <v>US</v>
      </c>
      <c r="L3" s="6"/>
    </row>
    <row r="4" ht="15.75" customHeight="1" spans="1:12">
      <c r="A4" s="4" t="s">
        <v>105</v>
      </c>
      <c r="B4" s="4" t="s">
        <v>106</v>
      </c>
      <c r="C4" s="4" t="s">
        <v>107</v>
      </c>
      <c r="D4" s="5">
        <v>130</v>
      </c>
      <c r="E4" s="4">
        <v>40</v>
      </c>
      <c r="F4" s="5">
        <f t="shared" si="0"/>
        <v>5200</v>
      </c>
      <c r="G4" s="4" t="s">
        <v>108</v>
      </c>
      <c r="H4" s="4" t="str">
        <f t="shared" si="1"/>
        <v>STANDARD PRICE</v>
      </c>
      <c r="I4" s="4" t="str">
        <f t="shared" si="2"/>
        <v>03</v>
      </c>
      <c r="J4" s="4" t="str">
        <f t="shared" si="3"/>
        <v>MAR</v>
      </c>
      <c r="K4" s="4" t="str">
        <f t="shared" si="4"/>
        <v>US</v>
      </c>
      <c r="L4" s="4"/>
    </row>
    <row r="5" ht="15.75" customHeight="1" spans="1:12">
      <c r="A5" s="6" t="s">
        <v>109</v>
      </c>
      <c r="B5" s="6" t="s">
        <v>110</v>
      </c>
      <c r="C5" s="6" t="s">
        <v>111</v>
      </c>
      <c r="D5" s="7">
        <v>900</v>
      </c>
      <c r="E5" s="6">
        <v>25</v>
      </c>
      <c r="F5" s="8">
        <f t="shared" si="0"/>
        <v>22500</v>
      </c>
      <c r="G5" s="6" t="s">
        <v>100</v>
      </c>
      <c r="H5" s="9" t="str">
        <f t="shared" si="1"/>
        <v>HIGH PRICE</v>
      </c>
      <c r="I5" s="9" t="str">
        <f t="shared" si="2"/>
        <v>11</v>
      </c>
      <c r="J5" s="9" t="str">
        <f t="shared" si="3"/>
        <v>APR</v>
      </c>
      <c r="K5" s="9" t="str">
        <f t="shared" si="4"/>
        <v>US</v>
      </c>
      <c r="L5" s="6"/>
    </row>
    <row r="6" ht="15.75" customHeight="1" spans="1:12">
      <c r="A6" s="4" t="s">
        <v>112</v>
      </c>
      <c r="B6" s="4" t="s">
        <v>113</v>
      </c>
      <c r="C6" s="4" t="s">
        <v>114</v>
      </c>
      <c r="D6" s="5">
        <v>70</v>
      </c>
      <c r="E6" s="4">
        <v>20</v>
      </c>
      <c r="F6" s="5">
        <f t="shared" si="0"/>
        <v>1400</v>
      </c>
      <c r="G6" s="4" t="s">
        <v>115</v>
      </c>
      <c r="H6" s="4" t="str">
        <f t="shared" si="1"/>
        <v>STANDARD PRICE</v>
      </c>
      <c r="I6" s="4" t="str">
        <f t="shared" si="2"/>
        <v>22</v>
      </c>
      <c r="J6" s="4" t="str">
        <f t="shared" si="3"/>
        <v>MAY</v>
      </c>
      <c r="K6" s="4" t="str">
        <f t="shared" si="4"/>
        <v>US</v>
      </c>
      <c r="L6" s="4"/>
    </row>
    <row r="7" ht="15.75" customHeight="1" spans="1:12">
      <c r="A7" s="6" t="s">
        <v>116</v>
      </c>
      <c r="B7" s="6" t="s">
        <v>117</v>
      </c>
      <c r="C7" s="6" t="s">
        <v>118</v>
      </c>
      <c r="D7" s="7">
        <v>200</v>
      </c>
      <c r="E7" s="6">
        <v>45</v>
      </c>
      <c r="F7" s="8">
        <f t="shared" si="0"/>
        <v>9000</v>
      </c>
      <c r="G7" s="6" t="s">
        <v>100</v>
      </c>
      <c r="H7" s="9" t="str">
        <f t="shared" si="1"/>
        <v>STANDARD PRICE</v>
      </c>
      <c r="I7" s="9" t="str">
        <f t="shared" si="2"/>
        <v>07</v>
      </c>
      <c r="J7" s="9" t="str">
        <f t="shared" si="3"/>
        <v>JUN</v>
      </c>
      <c r="K7" s="9" t="str">
        <f t="shared" si="4"/>
        <v>UK</v>
      </c>
      <c r="L7" s="6"/>
    </row>
    <row r="8" ht="15.75" customHeight="1" spans="1:12">
      <c r="A8" s="4" t="s">
        <v>119</v>
      </c>
      <c r="B8" s="4" t="s">
        <v>120</v>
      </c>
      <c r="C8" s="4" t="s">
        <v>121</v>
      </c>
      <c r="D8" s="5">
        <v>30</v>
      </c>
      <c r="E8" s="4">
        <v>5</v>
      </c>
      <c r="F8" s="5">
        <f t="shared" si="0"/>
        <v>150</v>
      </c>
      <c r="G8" s="4" t="s">
        <v>104</v>
      </c>
      <c r="H8" s="4" t="str">
        <f t="shared" si="1"/>
        <v>STANDARD PRICE</v>
      </c>
      <c r="I8" s="4" t="str">
        <f t="shared" si="2"/>
        <v>19</v>
      </c>
      <c r="J8" s="4" t="str">
        <f t="shared" si="3"/>
        <v>JUL</v>
      </c>
      <c r="K8" s="4" t="str">
        <f t="shared" si="4"/>
        <v>UK</v>
      </c>
      <c r="L8" s="4"/>
    </row>
    <row r="9" ht="15.75" customHeight="1" spans="1:12">
      <c r="A9" s="6" t="s">
        <v>122</v>
      </c>
      <c r="B9" s="6" t="s">
        <v>123</v>
      </c>
      <c r="C9" s="6" t="s">
        <v>124</v>
      </c>
      <c r="D9" s="7">
        <v>90</v>
      </c>
      <c r="E9" s="6">
        <v>35</v>
      </c>
      <c r="F9" s="8">
        <f t="shared" si="0"/>
        <v>3150</v>
      </c>
      <c r="G9" s="6" t="s">
        <v>108</v>
      </c>
      <c r="H9" s="9" t="str">
        <f t="shared" si="1"/>
        <v>STANDARD PRICE</v>
      </c>
      <c r="I9" s="9" t="str">
        <f t="shared" si="2"/>
        <v>23</v>
      </c>
      <c r="J9" s="9" t="str">
        <f t="shared" si="3"/>
        <v>AUG</v>
      </c>
      <c r="K9" s="9" t="str">
        <f t="shared" si="4"/>
        <v>UK</v>
      </c>
      <c r="L9" s="6"/>
    </row>
    <row r="10" ht="15.75" customHeight="1" spans="1:12">
      <c r="A10" s="4" t="s">
        <v>125</v>
      </c>
      <c r="B10" s="4" t="s">
        <v>126</v>
      </c>
      <c r="C10" s="4" t="s">
        <v>127</v>
      </c>
      <c r="D10" s="5">
        <v>500</v>
      </c>
      <c r="E10" s="4">
        <v>50</v>
      </c>
      <c r="F10" s="5">
        <f t="shared" si="0"/>
        <v>25000</v>
      </c>
      <c r="G10" s="4" t="s">
        <v>100</v>
      </c>
      <c r="H10" s="4" t="str">
        <f t="shared" si="1"/>
        <v>STANDARD PRICE</v>
      </c>
      <c r="I10" s="4" t="str">
        <f t="shared" si="2"/>
        <v>05</v>
      </c>
      <c r="J10" s="4" t="str">
        <f t="shared" si="3"/>
        <v>SEP</v>
      </c>
      <c r="K10" s="4" t="str">
        <f t="shared" si="4"/>
        <v>UK</v>
      </c>
      <c r="L10" s="4"/>
    </row>
    <row r="11" ht="15.75" customHeight="1" spans="1:12">
      <c r="A11" s="6" t="s">
        <v>128</v>
      </c>
      <c r="B11" s="6" t="s">
        <v>129</v>
      </c>
      <c r="C11" s="6" t="s">
        <v>130</v>
      </c>
      <c r="D11" s="7">
        <v>130</v>
      </c>
      <c r="E11" s="6">
        <v>10</v>
      </c>
      <c r="F11" s="8">
        <f t="shared" si="0"/>
        <v>1300</v>
      </c>
      <c r="G11" s="6" t="s">
        <v>115</v>
      </c>
      <c r="H11" s="9" t="str">
        <f t="shared" si="1"/>
        <v>STANDARD PRICE</v>
      </c>
      <c r="I11" s="9" t="str">
        <f t="shared" si="2"/>
        <v>14</v>
      </c>
      <c r="J11" s="9" t="str">
        <f t="shared" si="3"/>
        <v>OCT</v>
      </c>
      <c r="K11" s="9" t="str">
        <f t="shared" si="4"/>
        <v>UK</v>
      </c>
      <c r="L11" s="6"/>
    </row>
    <row r="12" ht="15.75" customHeight="1" spans="1:12">
      <c r="A12" s="4" t="s">
        <v>131</v>
      </c>
      <c r="B12" s="4" t="s">
        <v>98</v>
      </c>
      <c r="C12" s="4" t="s">
        <v>132</v>
      </c>
      <c r="D12" s="5">
        <v>950</v>
      </c>
      <c r="E12" s="4">
        <v>25</v>
      </c>
      <c r="F12" s="5">
        <f t="shared" si="0"/>
        <v>23750</v>
      </c>
      <c r="G12" s="4" t="s">
        <v>100</v>
      </c>
      <c r="H12" s="4" t="str">
        <f t="shared" si="1"/>
        <v>HIGH PRICE</v>
      </c>
      <c r="I12" s="4" t="str">
        <f t="shared" si="2"/>
        <v>17</v>
      </c>
      <c r="J12" s="4" t="str">
        <f t="shared" si="3"/>
        <v>JUN</v>
      </c>
      <c r="K12" s="4" t="str">
        <f t="shared" si="4"/>
        <v>IN</v>
      </c>
      <c r="L12" s="4"/>
    </row>
    <row r="13" ht="15.75" customHeight="1" spans="1:12">
      <c r="A13" s="6" t="s">
        <v>133</v>
      </c>
      <c r="B13" s="6" t="s">
        <v>102</v>
      </c>
      <c r="C13" s="6" t="s">
        <v>121</v>
      </c>
      <c r="D13" s="7">
        <v>90</v>
      </c>
      <c r="E13" s="6">
        <v>40</v>
      </c>
      <c r="F13" s="8">
        <f t="shared" si="0"/>
        <v>3600</v>
      </c>
      <c r="G13" s="6" t="s">
        <v>104</v>
      </c>
      <c r="H13" s="9" t="str">
        <f t="shared" si="1"/>
        <v>STANDARD PRICE</v>
      </c>
      <c r="I13" s="9" t="str">
        <f t="shared" si="2"/>
        <v>25</v>
      </c>
      <c r="J13" s="9" t="str">
        <f t="shared" si="3"/>
        <v>NOV</v>
      </c>
      <c r="K13" s="9" t="str">
        <f t="shared" si="4"/>
        <v>AU</v>
      </c>
      <c r="L13" s="6"/>
    </row>
    <row r="14" ht="15.75" customHeight="1" spans="1:12">
      <c r="A14" s="4" t="s">
        <v>134</v>
      </c>
      <c r="B14" s="4" t="s">
        <v>106</v>
      </c>
      <c r="C14" s="4" t="s">
        <v>135</v>
      </c>
      <c r="D14" s="5">
        <v>120</v>
      </c>
      <c r="E14" s="4">
        <v>35</v>
      </c>
      <c r="F14" s="5">
        <f t="shared" si="0"/>
        <v>4200</v>
      </c>
      <c r="G14" s="4" t="s">
        <v>108</v>
      </c>
      <c r="H14" s="4" t="str">
        <f t="shared" si="1"/>
        <v>STANDARD PRICE</v>
      </c>
      <c r="I14" s="4" t="str">
        <f t="shared" si="2"/>
        <v>08</v>
      </c>
      <c r="J14" s="4" t="str">
        <f t="shared" si="3"/>
        <v>DEC</v>
      </c>
      <c r="K14" s="4" t="str">
        <f t="shared" si="4"/>
        <v>DE</v>
      </c>
      <c r="L14" s="4"/>
    </row>
    <row r="15" ht="15.75" customHeight="1" spans="1:12">
      <c r="A15" s="6" t="s">
        <v>136</v>
      </c>
      <c r="B15" s="6" t="s">
        <v>137</v>
      </c>
      <c r="C15" s="6" t="s">
        <v>138</v>
      </c>
      <c r="D15" s="7">
        <v>150</v>
      </c>
      <c r="E15" s="6">
        <v>15</v>
      </c>
      <c r="F15" s="8">
        <f t="shared" si="0"/>
        <v>2250</v>
      </c>
      <c r="G15" s="6" t="s">
        <v>100</v>
      </c>
      <c r="H15" s="9" t="str">
        <f t="shared" si="1"/>
        <v>STANDARD PRICE</v>
      </c>
      <c r="I15" s="9" t="str">
        <f t="shared" si="2"/>
        <v>18</v>
      </c>
      <c r="J15" s="9" t="str">
        <f t="shared" si="3"/>
        <v>FEB</v>
      </c>
      <c r="K15" s="9" t="str">
        <f t="shared" si="4"/>
        <v>CA</v>
      </c>
      <c r="L15" s="6"/>
    </row>
    <row r="16" ht="15.75" customHeight="1" spans="1:12">
      <c r="A16" s="4" t="s">
        <v>139</v>
      </c>
      <c r="B16" s="4" t="s">
        <v>117</v>
      </c>
      <c r="C16" s="4" t="s">
        <v>140</v>
      </c>
      <c r="D16" s="5">
        <v>250</v>
      </c>
      <c r="E16" s="4">
        <v>20</v>
      </c>
      <c r="F16" s="5">
        <f t="shared" si="0"/>
        <v>5000</v>
      </c>
      <c r="G16" s="4" t="s">
        <v>100</v>
      </c>
      <c r="H16" s="4" t="str">
        <f t="shared" si="1"/>
        <v>STANDARD PRICE</v>
      </c>
      <c r="I16" s="4" t="str">
        <f t="shared" si="2"/>
        <v>16</v>
      </c>
      <c r="J16" s="4" t="str">
        <f t="shared" si="3"/>
        <v>APR</v>
      </c>
      <c r="K16" s="4" t="str">
        <f t="shared" si="4"/>
        <v>ES</v>
      </c>
      <c r="L16" s="4"/>
    </row>
    <row r="17" ht="15.75" customHeight="1" spans="1:12">
      <c r="A17" s="6" t="s">
        <v>141</v>
      </c>
      <c r="B17" s="6" t="s">
        <v>142</v>
      </c>
      <c r="C17" s="6" t="s">
        <v>143</v>
      </c>
      <c r="D17" s="7">
        <v>50</v>
      </c>
      <c r="E17" s="6">
        <v>35</v>
      </c>
      <c r="F17" s="8">
        <f t="shared" si="0"/>
        <v>1750</v>
      </c>
      <c r="G17" s="6" t="s">
        <v>144</v>
      </c>
      <c r="H17" s="9" t="str">
        <f t="shared" si="1"/>
        <v>STANDARD PRICE</v>
      </c>
      <c r="I17" s="9" t="str">
        <f t="shared" si="2"/>
        <v>21</v>
      </c>
      <c r="J17" s="9" t="str">
        <f t="shared" si="3"/>
        <v>AUG</v>
      </c>
      <c r="K17" s="9" t="str">
        <f t="shared" si="4"/>
        <v>CA</v>
      </c>
      <c r="L17" s="6"/>
    </row>
    <row r="18" ht="15.75" customHeight="1" spans="1:12">
      <c r="A18" s="4" t="s">
        <v>145</v>
      </c>
      <c r="B18" s="4" t="s">
        <v>137</v>
      </c>
      <c r="C18" s="4" t="s">
        <v>146</v>
      </c>
      <c r="D18" s="5">
        <v>160</v>
      </c>
      <c r="E18" s="4">
        <v>15</v>
      </c>
      <c r="F18" s="5">
        <f t="shared" si="0"/>
        <v>2400</v>
      </c>
      <c r="G18" s="4" t="s">
        <v>100</v>
      </c>
      <c r="H18" s="4" t="str">
        <f t="shared" si="1"/>
        <v>STANDARD PRICE</v>
      </c>
      <c r="I18" s="4" t="str">
        <f t="shared" si="2"/>
        <v>20</v>
      </c>
      <c r="J18" s="4" t="str">
        <f t="shared" si="3"/>
        <v>AUG</v>
      </c>
      <c r="K18" s="4" t="str">
        <f t="shared" si="4"/>
        <v>CN</v>
      </c>
      <c r="L18" s="4"/>
    </row>
    <row r="19" ht="15.75" customHeight="1" spans="1:12">
      <c r="A19" s="6" t="s">
        <v>147</v>
      </c>
      <c r="B19" s="6" t="s">
        <v>98</v>
      </c>
      <c r="C19" s="6" t="s">
        <v>148</v>
      </c>
      <c r="D19" s="7">
        <v>980</v>
      </c>
      <c r="E19" s="6">
        <v>10</v>
      </c>
      <c r="F19" s="8">
        <f t="shared" si="0"/>
        <v>9800</v>
      </c>
      <c r="G19" s="6" t="s">
        <v>100</v>
      </c>
      <c r="H19" s="9" t="str">
        <f t="shared" si="1"/>
        <v>HIGH PRICE</v>
      </c>
      <c r="I19" s="9" t="str">
        <f t="shared" si="2"/>
        <v>27</v>
      </c>
      <c r="J19" s="9" t="str">
        <f t="shared" si="3"/>
        <v>JAN</v>
      </c>
      <c r="K19" s="9" t="str">
        <f t="shared" si="4"/>
        <v>IT</v>
      </c>
      <c r="L19" s="6"/>
    </row>
    <row r="20" ht="15.75" customHeight="1" spans="1:12">
      <c r="A20" s="4" t="s">
        <v>149</v>
      </c>
      <c r="B20" s="4" t="s">
        <v>150</v>
      </c>
      <c r="C20" s="4" t="s">
        <v>151</v>
      </c>
      <c r="D20" s="5">
        <v>150</v>
      </c>
      <c r="E20" s="4">
        <v>15</v>
      </c>
      <c r="F20" s="5">
        <f t="shared" si="0"/>
        <v>2250</v>
      </c>
      <c r="G20" s="4" t="s">
        <v>104</v>
      </c>
      <c r="H20" s="4" t="str">
        <f t="shared" si="1"/>
        <v>STANDARD PRICE</v>
      </c>
      <c r="I20" s="4" t="str">
        <f t="shared" si="2"/>
        <v>01</v>
      </c>
      <c r="J20" s="4" t="str">
        <f t="shared" si="3"/>
        <v>MAR</v>
      </c>
      <c r="K20" s="4" t="str">
        <f t="shared" si="4"/>
        <v>UK</v>
      </c>
      <c r="L20" s="4"/>
    </row>
    <row r="21" ht="15.75" customHeight="1" spans="1:12">
      <c r="A21" s="6" t="s">
        <v>152</v>
      </c>
      <c r="B21" s="6" t="s">
        <v>153</v>
      </c>
      <c r="C21" s="6" t="s">
        <v>154</v>
      </c>
      <c r="D21" s="7">
        <v>200</v>
      </c>
      <c r="E21" s="6">
        <v>10</v>
      </c>
      <c r="F21" s="8">
        <f t="shared" si="0"/>
        <v>2000</v>
      </c>
      <c r="G21" s="6" t="s">
        <v>115</v>
      </c>
      <c r="H21" s="9" t="str">
        <f t="shared" si="1"/>
        <v>STANDARD PRICE</v>
      </c>
      <c r="I21" s="9" t="str">
        <f t="shared" si="2"/>
        <v>14</v>
      </c>
      <c r="J21" s="9" t="str">
        <f t="shared" si="3"/>
        <v>AUG</v>
      </c>
      <c r="K21" s="9" t="str">
        <f t="shared" si="4"/>
        <v>US</v>
      </c>
      <c r="L21" s="6"/>
    </row>
    <row r="22" ht="15.75" customHeight="1" spans="1:12">
      <c r="A22" s="4" t="s">
        <v>155</v>
      </c>
      <c r="B22" s="4" t="s">
        <v>156</v>
      </c>
      <c r="C22" s="4" t="s">
        <v>157</v>
      </c>
      <c r="D22" s="5">
        <v>700</v>
      </c>
      <c r="E22" s="4">
        <v>50</v>
      </c>
      <c r="F22" s="5">
        <f t="shared" si="0"/>
        <v>35000</v>
      </c>
      <c r="G22" s="4" t="s">
        <v>100</v>
      </c>
      <c r="H22" s="4" t="str">
        <f t="shared" si="1"/>
        <v>HIGH PRICE</v>
      </c>
      <c r="I22" s="4" t="str">
        <f t="shared" si="2"/>
        <v>14</v>
      </c>
      <c r="J22" s="4" t="str">
        <f t="shared" si="3"/>
        <v>MAY</v>
      </c>
      <c r="K22" s="4" t="str">
        <f t="shared" si="4"/>
        <v>RU</v>
      </c>
      <c r="L22" s="4"/>
    </row>
    <row r="23" ht="15.75" customHeight="1" spans="1:12">
      <c r="A23" s="6" t="s">
        <v>158</v>
      </c>
      <c r="B23" s="6" t="s">
        <v>159</v>
      </c>
      <c r="C23" s="6" t="s">
        <v>160</v>
      </c>
      <c r="D23" s="7">
        <v>80</v>
      </c>
      <c r="E23" s="6">
        <v>20</v>
      </c>
      <c r="F23" s="8">
        <f t="shared" si="0"/>
        <v>1600</v>
      </c>
      <c r="G23" s="6" t="s">
        <v>108</v>
      </c>
      <c r="H23" s="9" t="str">
        <f t="shared" si="1"/>
        <v>STANDARD PRICE</v>
      </c>
      <c r="I23" s="9" t="str">
        <f t="shared" si="2"/>
        <v>09</v>
      </c>
      <c r="J23" s="9" t="str">
        <f t="shared" si="3"/>
        <v>JAN</v>
      </c>
      <c r="K23" s="9" t="str">
        <f t="shared" si="4"/>
        <v>CA</v>
      </c>
      <c r="L23" s="6"/>
    </row>
    <row r="24" ht="15.75" customHeight="1" spans="1:12">
      <c r="A24" s="4" t="s">
        <v>161</v>
      </c>
      <c r="B24" s="4" t="s">
        <v>162</v>
      </c>
      <c r="C24" s="4" t="s">
        <v>163</v>
      </c>
      <c r="D24" s="5">
        <v>150</v>
      </c>
      <c r="E24" s="4">
        <v>30</v>
      </c>
      <c r="F24" s="5">
        <f t="shared" si="0"/>
        <v>4500</v>
      </c>
      <c r="G24" s="4" t="s">
        <v>100</v>
      </c>
      <c r="H24" s="4" t="str">
        <f t="shared" si="1"/>
        <v>STANDARD PRICE</v>
      </c>
      <c r="I24" s="4" t="str">
        <f t="shared" si="2"/>
        <v>19</v>
      </c>
      <c r="J24" s="4" t="str">
        <f t="shared" si="3"/>
        <v>JUL</v>
      </c>
      <c r="K24" s="4" t="str">
        <f t="shared" si="4"/>
        <v>BR</v>
      </c>
      <c r="L24" s="4"/>
    </row>
    <row r="25" ht="15.75" customHeight="1" spans="1:12">
      <c r="A25" s="6" t="s">
        <v>141</v>
      </c>
      <c r="B25" s="6" t="s">
        <v>142</v>
      </c>
      <c r="C25" s="6" t="s">
        <v>143</v>
      </c>
      <c r="D25" s="7">
        <v>50</v>
      </c>
      <c r="E25" s="6">
        <v>35</v>
      </c>
      <c r="F25" s="8">
        <f t="shared" si="0"/>
        <v>1750</v>
      </c>
      <c r="G25" s="6" t="s">
        <v>144</v>
      </c>
      <c r="H25" s="9" t="str">
        <f t="shared" si="1"/>
        <v>STANDARD PRICE</v>
      </c>
      <c r="I25" s="9" t="str">
        <f t="shared" si="2"/>
        <v>21</v>
      </c>
      <c r="J25" s="9" t="str">
        <f t="shared" si="3"/>
        <v>AUG</v>
      </c>
      <c r="K25" s="9" t="str">
        <f t="shared" si="4"/>
        <v>CA</v>
      </c>
      <c r="L25" s="6"/>
    </row>
    <row r="26" ht="15.75" customHeight="1" spans="1:12">
      <c r="A26" s="4" t="s">
        <v>164</v>
      </c>
      <c r="B26" s="4" t="s">
        <v>110</v>
      </c>
      <c r="C26" s="4" t="s">
        <v>165</v>
      </c>
      <c r="D26" s="5">
        <v>800</v>
      </c>
      <c r="E26" s="4">
        <v>45</v>
      </c>
      <c r="F26" s="5">
        <f t="shared" si="0"/>
        <v>36000</v>
      </c>
      <c r="G26" s="4" t="s">
        <v>100</v>
      </c>
      <c r="H26" s="4" t="str">
        <f t="shared" si="1"/>
        <v>HIGH PRICE</v>
      </c>
      <c r="I26" s="4" t="str">
        <f t="shared" si="2"/>
        <v>29</v>
      </c>
      <c r="J26" s="4" t="str">
        <f t="shared" si="3"/>
        <v>SEP</v>
      </c>
      <c r="K26" s="4" t="str">
        <f t="shared" si="4"/>
        <v>CA</v>
      </c>
      <c r="L26" s="4"/>
    </row>
    <row r="27" ht="15.75" customHeight="1" spans="1:12">
      <c r="A27" s="6" t="s">
        <v>166</v>
      </c>
      <c r="B27" s="6" t="s">
        <v>150</v>
      </c>
      <c r="C27" s="6" t="s">
        <v>167</v>
      </c>
      <c r="D27" s="7">
        <v>130</v>
      </c>
      <c r="E27" s="6">
        <v>25</v>
      </c>
      <c r="F27" s="8">
        <f t="shared" si="0"/>
        <v>3250</v>
      </c>
      <c r="G27" s="6" t="s">
        <v>104</v>
      </c>
      <c r="H27" s="9" t="str">
        <f t="shared" si="1"/>
        <v>STANDARD PRICE</v>
      </c>
      <c r="I27" s="9" t="str">
        <f t="shared" si="2"/>
        <v>03</v>
      </c>
      <c r="J27" s="9" t="str">
        <f t="shared" si="3"/>
        <v>JUN</v>
      </c>
      <c r="K27" s="9" t="str">
        <f t="shared" si="4"/>
        <v>CA</v>
      </c>
      <c r="L27" s="6"/>
    </row>
    <row r="28" ht="15.75" customHeight="1" spans="1:12">
      <c r="A28" s="4" t="s">
        <v>168</v>
      </c>
      <c r="B28" s="4" t="s">
        <v>123</v>
      </c>
      <c r="C28" s="4" t="s">
        <v>169</v>
      </c>
      <c r="D28" s="5">
        <v>400</v>
      </c>
      <c r="E28" s="4">
        <v>40</v>
      </c>
      <c r="F28" s="5">
        <f t="shared" si="0"/>
        <v>16000</v>
      </c>
      <c r="G28" s="4" t="s">
        <v>108</v>
      </c>
      <c r="H28" s="4" t="str">
        <f t="shared" si="1"/>
        <v>STANDARD PRICE</v>
      </c>
      <c r="I28" s="4" t="str">
        <f t="shared" si="2"/>
        <v>11</v>
      </c>
      <c r="J28" s="4" t="str">
        <f t="shared" si="3"/>
        <v>JUL</v>
      </c>
      <c r="K28" s="4" t="str">
        <f t="shared" si="4"/>
        <v>CA</v>
      </c>
      <c r="L28" s="4"/>
    </row>
    <row r="29" ht="15.75" customHeight="1" spans="1:12">
      <c r="A29" s="6" t="s">
        <v>139</v>
      </c>
      <c r="B29" s="6" t="s">
        <v>117</v>
      </c>
      <c r="C29" s="6" t="s">
        <v>140</v>
      </c>
      <c r="D29" s="7">
        <v>230</v>
      </c>
      <c r="E29" s="6">
        <v>20</v>
      </c>
      <c r="F29" s="8">
        <f t="shared" si="0"/>
        <v>4600</v>
      </c>
      <c r="G29" s="6" t="s">
        <v>100</v>
      </c>
      <c r="H29" s="9" t="str">
        <f t="shared" si="1"/>
        <v>STANDARD PRICE</v>
      </c>
      <c r="I29" s="9" t="str">
        <f t="shared" si="2"/>
        <v>16</v>
      </c>
      <c r="J29" s="9" t="str">
        <f t="shared" si="3"/>
        <v>APR</v>
      </c>
      <c r="K29" s="9" t="str">
        <f t="shared" si="4"/>
        <v>ES</v>
      </c>
      <c r="L29" s="6"/>
    </row>
    <row r="30" ht="15.75" customHeight="1" spans="1:12">
      <c r="A30" s="4" t="s">
        <v>170</v>
      </c>
      <c r="B30" s="4" t="s">
        <v>171</v>
      </c>
      <c r="C30" s="4" t="s">
        <v>172</v>
      </c>
      <c r="D30" s="5">
        <v>60</v>
      </c>
      <c r="E30" s="4">
        <v>30</v>
      </c>
      <c r="F30" s="5">
        <f t="shared" si="0"/>
        <v>1800</v>
      </c>
      <c r="G30" s="4" t="s">
        <v>104</v>
      </c>
      <c r="H30" s="4" t="str">
        <f t="shared" si="1"/>
        <v>STANDARD PRICE</v>
      </c>
      <c r="I30" s="4" t="str">
        <f t="shared" si="2"/>
        <v>07</v>
      </c>
      <c r="J30" s="4" t="str">
        <f t="shared" si="3"/>
        <v>MAR</v>
      </c>
      <c r="K30" s="4" t="str">
        <f t="shared" si="4"/>
        <v>CA</v>
      </c>
      <c r="L30" s="4"/>
    </row>
    <row r="31" ht="15.75" customHeight="1" spans="1:12">
      <c r="A31" s="6" t="s">
        <v>173</v>
      </c>
      <c r="B31" s="6" t="s">
        <v>174</v>
      </c>
      <c r="C31" s="6" t="s">
        <v>175</v>
      </c>
      <c r="D31" s="7">
        <v>40</v>
      </c>
      <c r="E31" s="6">
        <v>10</v>
      </c>
      <c r="F31" s="8">
        <f t="shared" si="0"/>
        <v>400</v>
      </c>
      <c r="G31" s="6" t="s">
        <v>108</v>
      </c>
      <c r="H31" s="9" t="str">
        <f t="shared" si="1"/>
        <v>STANDARD PRICE</v>
      </c>
      <c r="I31" s="9" t="str">
        <f t="shared" si="2"/>
        <v>13</v>
      </c>
      <c r="J31" s="9" t="str">
        <f t="shared" si="3"/>
        <v>APR</v>
      </c>
      <c r="K31" s="9" t="str">
        <f t="shared" si="4"/>
        <v>CA</v>
      </c>
      <c r="L31" s="6"/>
    </row>
    <row r="32" ht="15.75" customHeight="1" spans="1:12">
      <c r="A32" s="4" t="s">
        <v>176</v>
      </c>
      <c r="B32" s="4" t="s">
        <v>162</v>
      </c>
      <c r="C32" s="4" t="s">
        <v>177</v>
      </c>
      <c r="D32" s="5">
        <v>130</v>
      </c>
      <c r="E32" s="4">
        <v>5</v>
      </c>
      <c r="F32" s="5">
        <f t="shared" si="0"/>
        <v>650</v>
      </c>
      <c r="G32" s="4" t="s">
        <v>100</v>
      </c>
      <c r="H32" s="4" t="str">
        <f t="shared" si="1"/>
        <v>STANDARD PRICE</v>
      </c>
      <c r="I32" s="4" t="str">
        <f t="shared" si="2"/>
        <v>24</v>
      </c>
      <c r="J32" s="4" t="str">
        <f t="shared" si="3"/>
        <v>MAY</v>
      </c>
      <c r="K32" s="4" t="str">
        <f t="shared" si="4"/>
        <v>CA</v>
      </c>
      <c r="L32" s="4"/>
    </row>
    <row r="33" ht="15.75" customHeight="1" spans="1:30">
      <c r="A33" s="6" t="s">
        <v>178</v>
      </c>
      <c r="B33" s="6" t="s">
        <v>179</v>
      </c>
      <c r="C33" s="6" t="s">
        <v>180</v>
      </c>
      <c r="D33" s="7">
        <v>50</v>
      </c>
      <c r="E33" s="6">
        <v>50</v>
      </c>
      <c r="F33" s="8">
        <f t="shared" si="0"/>
        <v>2500</v>
      </c>
      <c r="G33" s="6" t="s">
        <v>104</v>
      </c>
      <c r="H33" s="9" t="str">
        <f t="shared" si="1"/>
        <v>STANDARD PRICE</v>
      </c>
      <c r="I33" s="9" t="str">
        <f t="shared" si="2"/>
        <v>02</v>
      </c>
      <c r="J33" s="9" t="str">
        <f t="shared" si="3"/>
        <v>DEC</v>
      </c>
      <c r="K33" s="9" t="str">
        <f t="shared" si="4"/>
        <v>CA</v>
      </c>
      <c r="L33" s="6"/>
    </row>
    <row r="34" ht="15.75" customHeight="1" spans="1:30">
      <c r="A34" s="4" t="s">
        <v>131</v>
      </c>
      <c r="B34" s="4" t="s">
        <v>98</v>
      </c>
      <c r="C34" s="4" t="s">
        <v>132</v>
      </c>
      <c r="D34" s="5">
        <v>950</v>
      </c>
      <c r="E34" s="4">
        <v>25</v>
      </c>
      <c r="F34" s="5">
        <f t="shared" si="0"/>
        <v>23750</v>
      </c>
      <c r="G34" s="4" t="s">
        <v>100</v>
      </c>
      <c r="H34" s="4" t="str">
        <f t="shared" si="1"/>
        <v>HIGH PRICE</v>
      </c>
      <c r="I34" s="4" t="str">
        <f t="shared" si="2"/>
        <v>17</v>
      </c>
      <c r="J34" s="4" t="str">
        <f t="shared" si="3"/>
        <v>JUN</v>
      </c>
      <c r="K34" s="4" t="str">
        <f t="shared" si="4"/>
        <v>IN</v>
      </c>
      <c r="L34" s="4"/>
    </row>
    <row r="35" ht="15.75" customHeight="1" spans="1:30">
      <c r="A35" s="6" t="s">
        <v>181</v>
      </c>
      <c r="B35" s="6" t="s">
        <v>182</v>
      </c>
      <c r="C35" s="6" t="s">
        <v>183</v>
      </c>
      <c r="D35" s="7">
        <v>100</v>
      </c>
      <c r="E35" s="6">
        <v>20</v>
      </c>
      <c r="F35" s="8">
        <f t="shared" si="0"/>
        <v>2000</v>
      </c>
      <c r="G35" s="6" t="s">
        <v>144</v>
      </c>
      <c r="H35" s="9" t="str">
        <f t="shared" si="1"/>
        <v>STANDARD PRICE</v>
      </c>
      <c r="I35" s="9" t="str">
        <f t="shared" si="2"/>
        <v>09</v>
      </c>
      <c r="J35" s="9" t="str">
        <f t="shared" si="3"/>
        <v>JUL</v>
      </c>
      <c r="K35" s="9" t="str">
        <f t="shared" si="4"/>
        <v>FR</v>
      </c>
      <c r="L35" s="6"/>
    </row>
    <row r="36" ht="15.75" customHeight="1" spans="1:30">
      <c r="A36" s="4"/>
      <c r="B36" s="4"/>
      <c r="C36" s="4"/>
      <c r="D36" s="5"/>
      <c r="E36" s="4"/>
      <c r="F36" s="5"/>
      <c r="G36" s="4"/>
      <c r="H36" s="4"/>
      <c r="I36" s="4"/>
      <c r="J36" s="4"/>
      <c r="K36" s="4"/>
      <c r="L36" s="4"/>
    </row>
    <row r="37" ht="15.75" customHeight="1" spans="1:30">
      <c r="A37" s="10"/>
      <c r="B37" s="11"/>
      <c r="C37" s="11"/>
      <c r="D37" s="12" t="s">
        <v>184</v>
      </c>
      <c r="E37" s="13"/>
      <c r="F37" s="14">
        <f>SUM(F2:F35)</f>
        <v>289700</v>
      </c>
      <c r="G37" s="10" t="s">
        <v>185</v>
      </c>
      <c r="H37" s="10"/>
      <c r="I37" s="10"/>
      <c r="J37" s="10"/>
      <c r="K37" s="10"/>
      <c r="L37" s="10"/>
      <c r="AA37" s="12" t="s">
        <v>184</v>
      </c>
      <c r="AB37" s="13"/>
      <c r="AC37" s="14">
        <f>SUM(AC2:AC36)</f>
        <v>0</v>
      </c>
      <c r="AD37" s="10"/>
    </row>
    <row r="38" ht="15.75" customHeight="1" spans="1:30">
      <c r="A38" s="4"/>
      <c r="B38" s="15"/>
      <c r="C38" s="16" t="s">
        <v>186</v>
      </c>
      <c r="D38" s="17"/>
      <c r="E38" s="18">
        <f>SUM(E2:E35)</f>
        <v>900</v>
      </c>
      <c r="F38" s="5"/>
      <c r="G38" s="4" t="s">
        <v>185</v>
      </c>
      <c r="H38" s="4"/>
      <c r="I38" s="4"/>
      <c r="J38" s="4"/>
      <c r="K38" s="4"/>
      <c r="L38" s="4"/>
      <c r="AA38" s="16" t="s">
        <v>186</v>
      </c>
      <c r="AB38" s="17"/>
      <c r="AC38" s="5"/>
      <c r="AD38" s="4">
        <f>SUM(AD2:AD35)</f>
        <v>0</v>
      </c>
    </row>
    <row r="39" ht="15.75" customHeight="1" spans="1:30">
      <c r="A39" s="10"/>
      <c r="B39" s="11"/>
      <c r="C39" s="11"/>
      <c r="D39" s="12" t="s">
        <v>187</v>
      </c>
      <c r="E39" s="13"/>
      <c r="F39" s="14">
        <f>AVERAGE(F2:F35)</f>
        <v>8520.58823529412</v>
      </c>
      <c r="G39" s="12" t="s">
        <v>188</v>
      </c>
      <c r="H39" s="10"/>
      <c r="I39" s="10"/>
      <c r="J39" s="10"/>
      <c r="K39" s="10"/>
      <c r="L39" s="10"/>
      <c r="AA39" s="12" t="s">
        <v>187</v>
      </c>
      <c r="AB39" s="13"/>
      <c r="AC39" s="14" t="e">
        <f>AVERAGE(AC2:AC35)</f>
        <v>#DIV/0!</v>
      </c>
      <c r="AD39" s="10"/>
    </row>
    <row r="40" ht="15.75" customHeight="1" spans="1:30">
      <c r="A40" s="4"/>
      <c r="B40" s="15"/>
      <c r="C40" s="15"/>
      <c r="D40" s="19" t="s">
        <v>189</v>
      </c>
      <c r="E40" s="20"/>
      <c r="F40" s="5">
        <f>MIN(F2:F35)</f>
        <v>150</v>
      </c>
      <c r="G40" s="19" t="s">
        <v>190</v>
      </c>
      <c r="H40" s="21"/>
      <c r="I40" s="4"/>
      <c r="J40" s="4"/>
      <c r="K40" s="4"/>
      <c r="L40" s="4"/>
      <c r="AA40" s="16" t="s">
        <v>189</v>
      </c>
      <c r="AB40" s="17"/>
      <c r="AC40" s="5">
        <f>MIN(AC2:AC35)</f>
        <v>0</v>
      </c>
      <c r="AD40" s="4"/>
    </row>
    <row r="41" ht="15.75" customHeight="1" spans="1:30">
      <c r="A41" s="10"/>
      <c r="B41" s="11"/>
      <c r="C41" s="11"/>
      <c r="D41" s="12" t="s">
        <v>191</v>
      </c>
      <c r="E41" s="13"/>
      <c r="F41" s="14">
        <f>MAX(F2:F35)</f>
        <v>36000</v>
      </c>
      <c r="G41" s="12" t="s">
        <v>192</v>
      </c>
      <c r="H41" s="10"/>
      <c r="I41" s="10"/>
      <c r="J41" s="10"/>
      <c r="K41" s="10"/>
      <c r="L41" s="10"/>
      <c r="AA41" s="12" t="s">
        <v>191</v>
      </c>
      <c r="AB41" s="13"/>
      <c r="AC41" s="14">
        <f>MAX(AC2:AC35)</f>
        <v>0</v>
      </c>
      <c r="AD41" s="10"/>
    </row>
    <row r="42" ht="15.75" customHeight="1" spans="1:30">
      <c r="A42" s="4"/>
      <c r="B42" s="15"/>
      <c r="C42" s="16" t="s">
        <v>193</v>
      </c>
      <c r="D42" s="17"/>
      <c r="E42" s="4">
        <f>COUNT(E2:E35)</f>
        <v>34</v>
      </c>
      <c r="F42" s="5"/>
      <c r="G42" s="4" t="s">
        <v>194</v>
      </c>
      <c r="H42" s="4"/>
      <c r="I42" s="4"/>
      <c r="J42" s="4"/>
      <c r="K42" s="4"/>
      <c r="L42" s="4"/>
      <c r="AA42" s="16" t="s">
        <v>193</v>
      </c>
      <c r="AB42" s="17"/>
      <c r="AC42" s="5"/>
      <c r="AD42" s="4">
        <f>COUNT(AD2:AD35)</f>
        <v>0</v>
      </c>
    </row>
    <row r="43" ht="15.75" customHeight="1" spans="1:30">
      <c r="A43" s="10"/>
      <c r="B43" s="11"/>
      <c r="C43" s="11"/>
      <c r="D43" s="12" t="s">
        <v>195</v>
      </c>
      <c r="E43" s="13"/>
      <c r="F43" s="14">
        <f>SUMIF(B2:B35,D43,F2:F35)</f>
        <v>87300</v>
      </c>
      <c r="G43" s="10" t="s">
        <v>196</v>
      </c>
      <c r="H43" s="10"/>
      <c r="I43" s="10"/>
      <c r="J43" s="10"/>
      <c r="K43" s="10"/>
      <c r="L43" s="10"/>
      <c r="AA43" s="12" t="s">
        <v>110</v>
      </c>
      <c r="AB43" s="13"/>
      <c r="AC43" s="14">
        <f>SUMIF(AA2:AA35,AA43,AC2:AC35)</f>
        <v>0</v>
      </c>
      <c r="AD43" s="10"/>
    </row>
    <row r="44" ht="15.75" customHeight="1" spans="1:30">
      <c r="A44" s="4"/>
      <c r="B44" s="15"/>
      <c r="C44" s="15"/>
      <c r="D44" s="22" t="s">
        <v>100</v>
      </c>
      <c r="E44" s="23"/>
      <c r="F44" s="5">
        <f>SUMIF(G2:G35,D44,F2:F35)</f>
        <v>234200</v>
      </c>
      <c r="G44" s="4" t="s">
        <v>196</v>
      </c>
      <c r="H44" s="4"/>
      <c r="I44" s="4"/>
      <c r="J44" s="4"/>
      <c r="K44" s="4"/>
      <c r="L44" s="4"/>
    </row>
    <row r="45" ht="15.75" customHeight="1" spans="1:30">
      <c r="A45" s="10"/>
      <c r="B45" s="11"/>
      <c r="C45" s="11"/>
      <c r="D45" s="24" t="s">
        <v>197</v>
      </c>
      <c r="E45" s="25"/>
      <c r="F45" s="26">
        <f>COUNTIF(B2:B35,D45)</f>
        <v>2</v>
      </c>
      <c r="G45" s="10" t="s">
        <v>198</v>
      </c>
      <c r="H45" s="10"/>
      <c r="I45" s="10"/>
      <c r="J45" s="10"/>
      <c r="K45" s="10"/>
      <c r="L45" s="10"/>
    </row>
    <row r="46" ht="15.75" customHeight="1" spans="1:30">
      <c r="A46" s="4"/>
      <c r="B46" s="15"/>
      <c r="C46" s="15"/>
      <c r="D46" s="27"/>
      <c r="E46" s="28"/>
      <c r="F46" s="5"/>
      <c r="G46" s="4"/>
      <c r="H46" s="4"/>
      <c r="I46" s="4"/>
      <c r="J46" s="4"/>
      <c r="K46" s="4"/>
      <c r="L46" s="4"/>
    </row>
    <row r="47" ht="15.75" customHeight="1" spans="1:30">
      <c r="A47" s="10"/>
      <c r="B47" s="11"/>
      <c r="C47" s="11"/>
      <c r="D47" s="14"/>
      <c r="E47" s="10"/>
      <c r="F47" s="14"/>
      <c r="G47" s="10"/>
      <c r="H47" s="10"/>
      <c r="I47" s="10"/>
      <c r="J47" s="10"/>
      <c r="K47" s="10"/>
      <c r="L47" s="10"/>
    </row>
    <row r="48" ht="15.75" customHeight="1" spans="1:30">
      <c r="A48" s="4"/>
      <c r="B48" s="15"/>
      <c r="C48" s="15"/>
      <c r="D48" s="5"/>
      <c r="E48" s="4"/>
      <c r="F48" s="5"/>
      <c r="G48" s="4"/>
      <c r="H48" s="4"/>
      <c r="I48" s="4"/>
      <c r="J48" s="4"/>
      <c r="K48" s="4"/>
      <c r="L48" s="4"/>
    </row>
    <row r="49" ht="15.75" customHeight="1" spans="1:12">
      <c r="A49" s="10"/>
      <c r="B49" s="11"/>
      <c r="C49" s="11"/>
      <c r="D49" s="14"/>
      <c r="E49" s="10"/>
      <c r="F49" s="14"/>
      <c r="G49" s="10"/>
      <c r="H49" s="10"/>
      <c r="I49" s="10"/>
      <c r="J49" s="10"/>
      <c r="K49" s="10"/>
      <c r="L49" s="10"/>
    </row>
    <row r="50" ht="15.75" customHeight="1" spans="1:12">
      <c r="A50" s="4"/>
      <c r="B50" s="15"/>
      <c r="C50" s="15"/>
      <c r="D50" s="5"/>
      <c r="E50" s="4"/>
      <c r="F50" s="5"/>
      <c r="G50" s="4"/>
      <c r="H50" s="4"/>
      <c r="I50" s="4"/>
      <c r="J50" s="4"/>
      <c r="K50" s="4"/>
      <c r="L50" s="4"/>
    </row>
    <row r="51" ht="15.75" customHeight="1" spans="1:12">
      <c r="A51" s="10"/>
      <c r="B51" s="11"/>
      <c r="C51" s="11"/>
      <c r="D51" s="14"/>
      <c r="E51" s="10"/>
      <c r="F51" s="14"/>
      <c r="G51" s="10"/>
      <c r="H51" s="10"/>
      <c r="I51" s="10"/>
      <c r="J51" s="10"/>
      <c r="K51" s="10"/>
      <c r="L51" s="1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D37:E37"/>
    <mergeCell ref="AA37:AB37"/>
    <mergeCell ref="C38:D38"/>
    <mergeCell ref="AA38:AB38"/>
    <mergeCell ref="D39:E39"/>
    <mergeCell ref="AA39:AB39"/>
    <mergeCell ref="D40:E40"/>
    <mergeCell ref="AA40:AB40"/>
    <mergeCell ref="D41:E41"/>
    <mergeCell ref="AA41:AB41"/>
    <mergeCell ref="C42:D42"/>
    <mergeCell ref="AA42:AB42"/>
    <mergeCell ref="D43:E43"/>
    <mergeCell ref="AA43:AB43"/>
    <mergeCell ref="D44:E44"/>
    <mergeCell ref="D45:E45"/>
    <mergeCell ref="D46:E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Instraction1</vt:lpstr>
      <vt:lpstr>Instraction2</vt:lpstr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ELCOT</cp:lastModifiedBy>
  <dcterms:created xsi:type="dcterms:W3CDTF">2026-06-19T09:04:00Z</dcterms:created>
  <dcterms:modified xsi:type="dcterms:W3CDTF">2026-06-20T15:30:13Z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2A2BCF4717594FB29DD530802D4C6DE3_12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